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9E96210D-DCDC-4998-A99B-17AABC5E0337}"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C4" i="10" s="1"/>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<sst xmlns="http://schemas.openxmlformats.org/spreadsheetml/2006/main" count="5677" uniqueCount="335">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</sst>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171</v>
      </c>
    </row>
    <row r="2" spans="1:2" x14ac:dyDescent="0.25">
      <c r="A2" s="3" t="s">
        <v>2</v>
      </c>
      <c r="B2" s="4" t="str">
        <f>IFERROR(INDEX(Geography!B:B, MATCH($B$1, Geography!C:C, 0)), "")</f>
        <v>UT</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1776197</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3503613</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1.0225988186785244</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1727416</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3503613</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0.97778141368872817</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3125961</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3503613</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1.1872837570175387</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60830</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3503613</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0.12709092144240075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109998</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3503613</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0.48622086033497186</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206824</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3503613</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1.2468207198824039</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592413</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3503613</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0.86648861318696169</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2911200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3503613</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1.0323700508698934</v>
      </c>
    </row>
    <row r="12" spans="1:28" x14ac:dyDescent="0.25">
      <c r="A12" s="4" t="s">
        <v>319</v>
      </c>
    </row>
    <row r="13" spans="1:28" x14ac:dyDescent="0.25">
      <c r="A13" s="4" t="s">
        <v>320</v>
      </c>
      <c r="B13" s="37">
        <f>INDEX(Census_pop_2020_2025!G:G, MATCH("."&amp;About!$B$1, Census_pop_2020_2025!A:A, 0))</f>
        <v>3502983</v>
      </c>
      <c r="C13" s="37">
        <f>INDEX(Census_pop_2020_2025!H:H, MATCH("."&amp;About!$B$1, Census_pop_2020_2025!A:A, 0))</f>
        <v>3538904</v>
      </c>
      <c r="D13" s="37">
        <f>INDEX(Census_pop_2020_2025!H:H, MATCH("."&amp;About!$B$1, Census_pop_2020_2025!A:A, 0))+0.2*(INDEX(Cooper_pop_2030_2050!D:D, MATCH(About!$B$1, Cooper_pop_2030_2050!B:B, 0))-INDEX(Census_pop_2020_2025!H:H, MATCH("."&amp;About!$B$1, Census_pop_2020_2025!A:A, 0)))</f>
        <v>3570933.1663004612</v>
      </c>
      <c r="E13" s="37">
        <f>INDEX(Census_pop_2020_2025!H:H, MATCH("."&amp;About!$B$1, Census_pop_2020_2025!A:A, 0))+0.4*(INDEX(Cooper_pop_2030_2050!D:D, MATCH(About!$B$1, Cooper_pop_2030_2050!B:B, 0))-INDEX(Census_pop_2020_2025!H:H, MATCH("."&amp;About!$B$1, Census_pop_2020_2025!A:A, 0)))</f>
        <v>3602962.3326009219</v>
      </c>
      <c r="F13" s="37">
        <f>INDEX(Census_pop_2020_2025!H:H, MATCH("."&amp;About!$B$1, Census_pop_2020_2025!A:A, 0))+0.6*(INDEX(Cooper_pop_2030_2050!D:D, MATCH(About!$B$1, Cooper_pop_2030_2050!B:B, 0))-INDEX(Census_pop_2020_2025!H:H, MATCH("."&amp;About!$B$1, Census_pop_2020_2025!A:A, 0)))</f>
        <v>3634991.498901383</v>
      </c>
      <c r="G13" s="37">
        <f>INDEX(Census_pop_2020_2025!H:H, MATCH("."&amp;About!$B$1, Census_pop_2020_2025!A:A, 0))+0.8*(INDEX(Cooper_pop_2030_2050!D:D, MATCH(About!$B$1, Cooper_pop_2030_2050!B:B, 0))-INDEX(Census_pop_2020_2025!H:H, MATCH("."&amp;About!$B$1, Census_pop_2020_2025!A:A, 0)))</f>
        <v>3667020.6652018437</v>
      </c>
      <c r="H13" s="37">
        <f>INDEX(Cooper_pop_2030_2050!D:D, MATCH(About!$B$1, Cooper_pop_2030_2050!B:B, 0))</f>
        <v>3699049.8315023049</v>
      </c>
      <c r="I13" s="37">
        <f>INDEX(Cooper_pop_2030_2050!D:D, MATCH(About!$B$1, Cooper_pop_2030_2050!B:B, 0))+0.1*(INDEX(Cooper_pop_2030_2050!E:E, MATCH(About!$B$1, Cooper_pop_2030_2050!B:B, 0))-INDEX(Cooper_pop_2030_2050!D:D, MATCH(About!$B$1, Cooper_pop_2030_2050!B:B, 0)))</f>
        <v>3750122.1321071181</v>
      </c>
      <c r="J13" s="37">
        <f>INDEX(Cooper_pop_2030_2050!D:D, MATCH(About!$B$1, Cooper_pop_2030_2050!B:B, 0))+0.2*(INDEX(Cooper_pop_2030_2050!E:E, MATCH(About!$B$1, Cooper_pop_2030_2050!B:B, 0))-INDEX(Cooper_pop_2030_2050!D:D, MATCH(About!$B$1, Cooper_pop_2030_2050!B:B, 0)))</f>
        <v>3801194.4327119314</v>
      </c>
      <c r="K13" s="37">
        <f>INDEX(Cooper_pop_2030_2050!D:D, MATCH(About!$B$1, Cooper_pop_2030_2050!B:B, 0))+0.3*(INDEX(Cooper_pop_2030_2050!E:E, MATCH(About!$B$1, Cooper_pop_2030_2050!B:B, 0))-INDEX(Cooper_pop_2030_2050!D:D, MATCH(About!$B$1, Cooper_pop_2030_2050!B:B, 0)))</f>
        <v>3852266.7333167447</v>
      </c>
      <c r="L13" s="37">
        <f>INDEX(Cooper_pop_2030_2050!D:D, MATCH(About!$B$1, Cooper_pop_2030_2050!B:B, 0))+0.4*(INDEX(Cooper_pop_2030_2050!E:E, MATCH(About!$B$1, Cooper_pop_2030_2050!B:B, 0))-INDEX(Cooper_pop_2030_2050!D:D, MATCH(About!$B$1, Cooper_pop_2030_2050!B:B, 0)))</f>
        <v>3903339.0339215579</v>
      </c>
      <c r="M13" s="37">
        <f>INDEX(Cooper_pop_2030_2050!D:D, MATCH(About!$B$1, Cooper_pop_2030_2050!B:B, 0))+0.5*(INDEX(Cooper_pop_2030_2050!E:E, MATCH(About!$B$1, Cooper_pop_2030_2050!B:B, 0))-INDEX(Cooper_pop_2030_2050!D:D, MATCH(About!$B$1, Cooper_pop_2030_2050!B:B, 0)))</f>
        <v>3954411.3345263712</v>
      </c>
      <c r="N13" s="37">
        <f>INDEX(Cooper_pop_2030_2050!D:D, MATCH(About!$B$1, Cooper_pop_2030_2050!B:B, 0))+0.6*(INDEX(Cooper_pop_2030_2050!E:E, MATCH(About!$B$1, Cooper_pop_2030_2050!B:B, 0))-INDEX(Cooper_pop_2030_2050!D:D, MATCH(About!$B$1, Cooper_pop_2030_2050!B:B, 0)))</f>
        <v>4005483.635131184</v>
      </c>
      <c r="O13" s="37">
        <f>INDEX(Cooper_pop_2030_2050!D:D, MATCH(About!$B$1, Cooper_pop_2030_2050!B:B, 0))+0.7*(INDEX(Cooper_pop_2030_2050!E:E, MATCH(About!$B$1, Cooper_pop_2030_2050!B:B, 0))-INDEX(Cooper_pop_2030_2050!D:D, MATCH(About!$B$1, Cooper_pop_2030_2050!B:B, 0)))</f>
        <v>4056555.9357359973</v>
      </c>
      <c r="P13" s="37">
        <f>INDEX(Cooper_pop_2030_2050!D:D, MATCH(About!$B$1, Cooper_pop_2030_2050!B:B, 0))+0.8*(INDEX(Cooper_pop_2030_2050!E:E, MATCH(About!$B$1, Cooper_pop_2030_2050!B:B, 0))-INDEX(Cooper_pop_2030_2050!D:D, MATCH(About!$B$1, Cooper_pop_2030_2050!B:B, 0)))</f>
        <v>4107628.2363408105</v>
      </c>
      <c r="Q13" s="37">
        <f>INDEX(Cooper_pop_2030_2050!D:D, MATCH(About!$B$1, Cooper_pop_2030_2050!B:B, 0))+0.9*(INDEX(Cooper_pop_2030_2050!E:E, MATCH(About!$B$1, Cooper_pop_2030_2050!B:B, 0))-INDEX(Cooper_pop_2030_2050!D:D, MATCH(About!$B$1, Cooper_pop_2030_2050!B:B, 0)))</f>
        <v>4158700.5369456238</v>
      </c>
      <c r="R13" s="37">
        <f>INDEX(Cooper_pop_2030_2050!E:E, MATCH(About!$B$1, Cooper_pop_2030_2050!B:B, 0))</f>
        <v>4209772.8375504371</v>
      </c>
      <c r="S13" s="37">
        <f>INDEX(Cooper_pop_2030_2050!E:E, MATCH(About!$B$1, Cooper_pop_2030_2050!B:B, 0))+0.1*(INDEX(Cooper_pop_2030_2050!F:F, MATCH(About!$B$1, Cooper_pop_2030_2050!B:B, 0))-INDEX(Cooper_pop_2030_2050!E:E, MATCH(About!$B$1, Cooper_pop_2030_2050!B:B, 0)))</f>
        <v>4262282.5672959378</v>
      </c>
      <c r="T13" s="37">
        <f>INDEX(Cooper_pop_2030_2050!E:E, MATCH(About!$B$1, Cooper_pop_2030_2050!B:B, 0))+0.2*(INDEX(Cooper_pop_2030_2050!F:F, MATCH(About!$B$1, Cooper_pop_2030_2050!B:B, 0))-INDEX(Cooper_pop_2030_2050!E:E, MATCH(About!$B$1, Cooper_pop_2030_2050!B:B, 0)))</f>
        <v>4314792.2970414385</v>
      </c>
      <c r="U13" s="37">
        <f>INDEX(Cooper_pop_2030_2050!E:E, MATCH(About!$B$1, Cooper_pop_2030_2050!B:B, 0))+0.3*(INDEX(Cooper_pop_2030_2050!F:F, MATCH(About!$B$1, Cooper_pop_2030_2050!B:B, 0))-INDEX(Cooper_pop_2030_2050!E:E, MATCH(About!$B$1, Cooper_pop_2030_2050!B:B, 0)))</f>
        <v>4367302.0267869402</v>
      </c>
      <c r="V13" s="37">
        <f>INDEX(Cooper_pop_2030_2050!E:E, MATCH(About!$B$1, Cooper_pop_2030_2050!B:B, 0))+0.4*(INDEX(Cooper_pop_2030_2050!F:F, MATCH(About!$B$1, Cooper_pop_2030_2050!B:B, 0))-INDEX(Cooper_pop_2030_2050!E:E, MATCH(About!$B$1, Cooper_pop_2030_2050!B:B, 0)))</f>
        <v>4419811.7565324409</v>
      </c>
      <c r="W13" s="37">
        <f>INDEX(Cooper_pop_2030_2050!E:E, MATCH(About!$B$1, Cooper_pop_2030_2050!B:B, 0))+0.5*(INDEX(Cooper_pop_2030_2050!F:F, MATCH(About!$B$1, Cooper_pop_2030_2050!B:B, 0))-INDEX(Cooper_pop_2030_2050!E:E, MATCH(About!$B$1, Cooper_pop_2030_2050!B:B, 0)))</f>
        <v>4472321.4862779416</v>
      </c>
      <c r="X13" s="37">
        <f>INDEX(Cooper_pop_2030_2050!E:E, MATCH(About!$B$1, Cooper_pop_2030_2050!B:B, 0))+0.6*(INDEX(Cooper_pop_2030_2050!F:F, MATCH(About!$B$1, Cooper_pop_2030_2050!B:B, 0))-INDEX(Cooper_pop_2030_2050!E:E, MATCH(About!$B$1, Cooper_pop_2030_2050!B:B, 0)))</f>
        <v>4524831.2160234423</v>
      </c>
      <c r="Y13" s="37">
        <f>INDEX(Cooper_pop_2030_2050!E:E, MATCH(About!$B$1, Cooper_pop_2030_2050!B:B, 0))+0.7*(INDEX(Cooper_pop_2030_2050!F:F, MATCH(About!$B$1, Cooper_pop_2030_2050!B:B, 0))-INDEX(Cooper_pop_2030_2050!E:E, MATCH(About!$B$1, Cooper_pop_2030_2050!B:B, 0)))</f>
        <v>4577340.9457689431</v>
      </c>
      <c r="Z13" s="37">
        <f>INDEX(Cooper_pop_2030_2050!E:E, MATCH(About!$B$1, Cooper_pop_2030_2050!B:B, 0))+0.8*(INDEX(Cooper_pop_2030_2050!F:F, MATCH(About!$B$1, Cooper_pop_2030_2050!B:B, 0))-INDEX(Cooper_pop_2030_2050!E:E, MATCH(About!$B$1, Cooper_pop_2030_2050!B:B, 0)))</f>
        <v>4629850.6755144447</v>
      </c>
      <c r="AA13" s="37">
        <f>INDEX(Cooper_pop_2030_2050!E:E, MATCH(About!$B$1, Cooper_pop_2030_2050!B:B, 0))+0.9*(INDEX(Cooper_pop_2030_2050!F:F, MATCH(About!$B$1, Cooper_pop_2030_2050!B:B, 0))-INDEX(Cooper_pop_2030_2050!E:E, MATCH(About!$B$1, Cooper_pop_2030_2050!B:B, 0)))</f>
        <v>4682360.4052599454</v>
      </c>
      <c r="AB13" s="37">
        <f>INDEX(Cooper_pop_2030_2050!F:F, MATCH(About!$B$1, Cooper_pop_2030_2050!B:B, 0))</f>
        <v>4734870.1350054462</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1.0410605176557232E-2</v>
      </c>
      <c r="C15" s="39">
        <f t="shared" si="1"/>
        <v>1.0469626551307403E-2</v>
      </c>
      <c r="D15" s="39">
        <f t="shared" si="1"/>
        <v>1.0517808428540533E-2</v>
      </c>
      <c r="E15" s="39">
        <f t="shared" si="1"/>
        <v>1.0566786202525047E-2</v>
      </c>
      <c r="F15" s="39">
        <f t="shared" si="1"/>
        <v>1.0616685504394908E-2</v>
      </c>
      <c r="G15" s="39">
        <f t="shared" si="1"/>
        <v>1.0667578834648674E-2</v>
      </c>
      <c r="H15" s="39">
        <f t="shared" si="1"/>
        <v>1.0719597809534628E-2</v>
      </c>
      <c r="I15" s="39">
        <f t="shared" si="1"/>
        <v>1.0827886185342006E-2</v>
      </c>
      <c r="J15" s="39">
        <f t="shared" si="1"/>
        <v>1.0937269593461311E-2</v>
      </c>
      <c r="K15" s="39">
        <f t="shared" si="1"/>
        <v>1.1047452581969217E-2</v>
      </c>
      <c r="L15" s="39">
        <f t="shared" si="1"/>
        <v>1.1158529744552892E-2</v>
      </c>
      <c r="M15" s="39">
        <f t="shared" si="1"/>
        <v>1.127058974293761E-2</v>
      </c>
      <c r="N15" s="39">
        <f t="shared" si="1"/>
        <v>1.1383711956195922E-2</v>
      </c>
      <c r="O15" s="39">
        <f t="shared" si="1"/>
        <v>1.1497977345427974E-2</v>
      </c>
      <c r="P15" s="39">
        <f t="shared" si="1"/>
        <v>1.1613453424202216E-2</v>
      </c>
      <c r="Q15" s="39">
        <f t="shared" si="1"/>
        <v>1.1730184360372112E-2</v>
      </c>
      <c r="R15" s="39">
        <f t="shared" si="1"/>
        <v>1.1848200025786106E-2</v>
      </c>
      <c r="S15" s="39">
        <f t="shared" si="1"/>
        <v>1.1971575855974722E-2</v>
      </c>
      <c r="T15" s="39">
        <f t="shared" si="1"/>
        <v>1.2096233680996306E-2</v>
      </c>
      <c r="U15" s="39">
        <f t="shared" si="1"/>
        <v>1.2222129948019017E-2</v>
      </c>
      <c r="V15" s="39">
        <f t="shared" si="1"/>
        <v>1.2349175309950933E-2</v>
      </c>
      <c r="W15" s="39">
        <f t="shared" si="1"/>
        <v>1.2477253592431016E-2</v>
      </c>
      <c r="X15" s="39">
        <f t="shared" si="1"/>
        <v>1.2606236202582319E-2</v>
      </c>
      <c r="Y15" s="39">
        <f t="shared" si="1"/>
        <v>1.2736051214669723E-2</v>
      </c>
      <c r="Z15" s="39">
        <f t="shared" si="1"/>
        <v>1.2866566227088564E-2</v>
      </c>
      <c r="AA15" s="39">
        <f t="shared" si="1"/>
        <v>1.2997638928999335E-2</v>
      </c>
      <c r="AB15" s="39">
        <f t="shared" si="1"/>
        <v>1.3129122550118109E-2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100.18830661770203</v>
      </c>
      <c r="C48" s="37">
        <f t="shared" si="10"/>
        <v>99.996167123096939</v>
      </c>
      <c r="D48" s="37">
        <f t="shared" si="10"/>
        <v>99.681959858075359</v>
      </c>
      <c r="E48" s="37">
        <f t="shared" si="10"/>
        <v>99.368142076610212</v>
      </c>
      <c r="F48" s="37">
        <f t="shared" si="10"/>
        <v>99.03399692240005</v>
      </c>
      <c r="G48" s="37">
        <f t="shared" si="10"/>
        <v>98.679679691911574</v>
      </c>
      <c r="H48" s="37">
        <f t="shared" si="10"/>
        <v>98.305853372835429</v>
      </c>
      <c r="I48" s="37">
        <f t="shared" si="10"/>
        <v>98.468486149701207</v>
      </c>
      <c r="J48" s="37">
        <f t="shared" si="10"/>
        <v>98.546091728034583</v>
      </c>
      <c r="K48" s="37">
        <f t="shared" si="10"/>
        <v>98.623787408431852</v>
      </c>
      <c r="L48" s="37">
        <f t="shared" si="10"/>
        <v>98.622674352136755</v>
      </c>
      <c r="M48" s="37">
        <f t="shared" si="10"/>
        <v>98.621921564120981</v>
      </c>
      <c r="N48" s="37">
        <f t="shared" si="10"/>
        <v>98.633942187189902</v>
      </c>
      <c r="O48" s="37">
        <f t="shared" si="10"/>
        <v>98.495241810103082</v>
      </c>
      <c r="P48" s="37">
        <f t="shared" si="10"/>
        <v>98.379986684610301</v>
      </c>
      <c r="Q48" s="37">
        <f t="shared" si="10"/>
        <v>98.181306802295197</v>
      </c>
      <c r="R48" s="37">
        <f t="shared" si="10"/>
        <v>97.957499003421901</v>
      </c>
      <c r="S48" s="37">
        <f t="shared" si="10"/>
        <v>97.716596476416029</v>
      </c>
      <c r="T48" s="37">
        <f t="shared" si="10"/>
        <v>97.460033274179423</v>
      </c>
      <c r="U48" s="37">
        <f t="shared" si="10"/>
        <v>97.187057987803456</v>
      </c>
      <c r="V48" s="37">
        <f t="shared" si="10"/>
        <v>96.896578237538193</v>
      </c>
      <c r="W48" s="37">
        <f t="shared" si="10"/>
        <v>96.600090839454538</v>
      </c>
      <c r="X48" s="37">
        <f t="shared" si="10"/>
        <v>96.386921053852362</v>
      </c>
      <c r="Y48" s="37">
        <f t="shared" si="10"/>
        <v>96.155239052198539</v>
      </c>
      <c r="Z48" s="37">
        <f t="shared" si="10"/>
        <v>95.969604584623667</v>
      </c>
      <c r="AA48" s="37">
        <f t="shared" si="10"/>
        <v>95.777613765000424</v>
      </c>
      <c r="AB48" s="37">
        <f t="shared" si="10"/>
        <v>95.565023845038766</v>
      </c>
    </row>
    <row r="49" spans="1:28" x14ac:dyDescent="0.25">
      <c r="A49" s="4" t="s">
        <v>216</v>
      </c>
      <c r="B49" s="37">
        <f t="shared" ref="B49:AB49" si="11">B29*B15*$F$5</f>
        <v>76.385439036657473</v>
      </c>
      <c r="C49" s="37">
        <f t="shared" si="11"/>
        <v>76.398777644723154</v>
      </c>
      <c r="D49" s="37">
        <f t="shared" si="11"/>
        <v>76.328720783896955</v>
      </c>
      <c r="E49" s="37">
        <f t="shared" si="11"/>
        <v>76.250212776235983</v>
      </c>
      <c r="F49" s="37">
        <f t="shared" si="11"/>
        <v>76.153532375986273</v>
      </c>
      <c r="G49" s="37">
        <f t="shared" si="11"/>
        <v>76.059645806616146</v>
      </c>
      <c r="H49" s="37">
        <f t="shared" si="11"/>
        <v>75.958876107263734</v>
      </c>
      <c r="I49" s="37">
        <f t="shared" si="11"/>
        <v>76.196840285678675</v>
      </c>
      <c r="J49" s="37">
        <f t="shared" si="11"/>
        <v>76.463951313673789</v>
      </c>
      <c r="K49" s="37">
        <f t="shared" si="11"/>
        <v>76.661750021715292</v>
      </c>
      <c r="L49" s="37">
        <f t="shared" si="11"/>
        <v>76.876108655679118</v>
      </c>
      <c r="M49" s="37">
        <f t="shared" si="11"/>
        <v>77.019990298795008</v>
      </c>
      <c r="N49" s="37">
        <f t="shared" si="11"/>
        <v>77.102926703104202</v>
      </c>
      <c r="O49" s="37">
        <f t="shared" si="11"/>
        <v>77.236033692976193</v>
      </c>
      <c r="P49" s="37">
        <f t="shared" si="11"/>
        <v>77.250914823808344</v>
      </c>
      <c r="Q49" s="37">
        <f t="shared" si="11"/>
        <v>77.281869990359283</v>
      </c>
      <c r="R49" s="37">
        <f t="shared" si="11"/>
        <v>77.248445072227597</v>
      </c>
      <c r="S49" s="37">
        <f t="shared" si="11"/>
        <v>77.233445637213876</v>
      </c>
      <c r="T49" s="37">
        <f t="shared" si="11"/>
        <v>77.186085332131299</v>
      </c>
      <c r="U49" s="37">
        <f t="shared" si="11"/>
        <v>77.128988453651331</v>
      </c>
      <c r="V49" s="37">
        <f t="shared" si="11"/>
        <v>77.085485486224812</v>
      </c>
      <c r="W49" s="37">
        <f t="shared" si="11"/>
        <v>77.043168336176151</v>
      </c>
      <c r="X49" s="37">
        <f t="shared" si="11"/>
        <v>76.976765879316247</v>
      </c>
      <c r="Y49" s="37">
        <f t="shared" si="11"/>
        <v>76.94754524385786</v>
      </c>
      <c r="Z49" s="37">
        <f t="shared" si="11"/>
        <v>76.893173092316147</v>
      </c>
      <c r="AA49" s="37">
        <f t="shared" si="11"/>
        <v>76.863123388473113</v>
      </c>
      <c r="AB49" s="37">
        <f t="shared" si="11"/>
        <v>76.896097925206789</v>
      </c>
    </row>
    <row r="50" spans="1:28" x14ac:dyDescent="0.25">
      <c r="A50" s="4" t="s">
        <v>217</v>
      </c>
      <c r="B50" s="37">
        <f t="shared" ref="B50:AB50" si="12">B30*B15*$F$6</f>
        <v>121.8482556438785</v>
      </c>
      <c r="C50" s="37">
        <f t="shared" si="12"/>
        <v>121.7310790319621</v>
      </c>
      <c r="D50" s="37">
        <f t="shared" si="12"/>
        <v>121.49208520438711</v>
      </c>
      <c r="E50" s="37">
        <f t="shared" si="12"/>
        <v>121.22981051069078</v>
      </c>
      <c r="F50" s="37">
        <f t="shared" si="12"/>
        <v>120.95775515321273</v>
      </c>
      <c r="G50" s="37">
        <f t="shared" si="12"/>
        <v>120.68900708151871</v>
      </c>
      <c r="H50" s="37">
        <f t="shared" si="12"/>
        <v>120.37389884653899</v>
      </c>
      <c r="I50" s="37">
        <f t="shared" si="12"/>
        <v>120.69000059180864</v>
      </c>
      <c r="J50" s="37">
        <f t="shared" si="12"/>
        <v>120.93528892322513</v>
      </c>
      <c r="K50" s="37">
        <f t="shared" si="12"/>
        <v>121.11740093857817</v>
      </c>
      <c r="L50" s="37">
        <f t="shared" si="12"/>
        <v>121.22232122882814</v>
      </c>
      <c r="M50" s="37">
        <f t="shared" si="12"/>
        <v>121.24875788034642</v>
      </c>
      <c r="N50" s="37">
        <f t="shared" si="12"/>
        <v>121.19524872351474</v>
      </c>
      <c r="O50" s="37">
        <f t="shared" si="12"/>
        <v>121.01932183203483</v>
      </c>
      <c r="P50" s="37">
        <f t="shared" si="12"/>
        <v>120.77316154907723</v>
      </c>
      <c r="Q50" s="37">
        <f t="shared" si="12"/>
        <v>120.44119203104115</v>
      </c>
      <c r="R50" s="37">
        <f t="shared" si="12"/>
        <v>120.02114085843667</v>
      </c>
      <c r="S50" s="37">
        <f t="shared" si="12"/>
        <v>119.57950104977398</v>
      </c>
      <c r="T50" s="37">
        <f t="shared" si="12"/>
        <v>119.1156227248205</v>
      </c>
      <c r="U50" s="37">
        <f t="shared" si="12"/>
        <v>118.62853977112687</v>
      </c>
      <c r="V50" s="37">
        <f t="shared" si="12"/>
        <v>118.13153465424399</v>
      </c>
      <c r="W50" s="37">
        <f t="shared" si="12"/>
        <v>117.65310982955268</v>
      </c>
      <c r="X50" s="37">
        <f t="shared" si="12"/>
        <v>117.2079825114231</v>
      </c>
      <c r="Y50" s="37">
        <f t="shared" si="12"/>
        <v>116.76673061323645</v>
      </c>
      <c r="Z50" s="37">
        <f t="shared" si="12"/>
        <v>116.34403492553663</v>
      </c>
      <c r="AA50" s="37">
        <f t="shared" si="12"/>
        <v>115.97062013354781</v>
      </c>
      <c r="AB50" s="37">
        <f t="shared" si="12"/>
        <v>115.6161511097046</v>
      </c>
    </row>
    <row r="51" spans="1:28" x14ac:dyDescent="0.25">
      <c r="A51" s="4" t="s">
        <v>218</v>
      </c>
      <c r="B51" s="37">
        <f t="shared" ref="B51:AB51" si="13">B31*B15*$F$7</f>
        <v>6.1894309470073665</v>
      </c>
      <c r="C51" s="37">
        <f t="shared" si="13"/>
        <v>6.1406935508754703</v>
      </c>
      <c r="D51" s="37">
        <f t="shared" si="13"/>
        <v>6.0860768934515006</v>
      </c>
      <c r="E51" s="37">
        <f t="shared" si="13"/>
        <v>6.0284693096900961</v>
      </c>
      <c r="F51" s="37">
        <f t="shared" si="13"/>
        <v>5.967884650936611</v>
      </c>
      <c r="G51" s="37">
        <f t="shared" si="13"/>
        <v>5.9070133098646238</v>
      </c>
      <c r="H51" s="37">
        <f t="shared" si="13"/>
        <v>5.8418149585972268</v>
      </c>
      <c r="I51" s="37">
        <f t="shared" si="13"/>
        <v>5.8072518574393115</v>
      </c>
      <c r="J51" s="37">
        <f t="shared" si="13"/>
        <v>5.7713948887337354</v>
      </c>
      <c r="K51" s="37">
        <f t="shared" si="13"/>
        <v>5.7340623109064186</v>
      </c>
      <c r="L51" s="37">
        <f t="shared" si="13"/>
        <v>5.6981179695998527</v>
      </c>
      <c r="M51" s="37">
        <f t="shared" si="13"/>
        <v>5.6651010089135312</v>
      </c>
      <c r="N51" s="37">
        <f t="shared" si="13"/>
        <v>5.630814992060893</v>
      </c>
      <c r="O51" s="37">
        <f t="shared" si="13"/>
        <v>5.5996576682440393</v>
      </c>
      <c r="P51" s="37">
        <f t="shared" si="13"/>
        <v>5.5673380819683151</v>
      </c>
      <c r="Q51" s="37">
        <f t="shared" si="13"/>
        <v>5.5368309736277261</v>
      </c>
      <c r="R51" s="37">
        <f t="shared" si="13"/>
        <v>5.5067056949062456</v>
      </c>
      <c r="S51" s="37">
        <f t="shared" si="13"/>
        <v>5.4773229839523303</v>
      </c>
      <c r="T51" s="37">
        <f t="shared" si="13"/>
        <v>5.4482673410695011</v>
      </c>
      <c r="U51" s="37">
        <f t="shared" si="13"/>
        <v>5.4179862887037551</v>
      </c>
      <c r="V51" s="37">
        <f t="shared" si="13"/>
        <v>5.3895533496170343</v>
      </c>
      <c r="W51" s="37">
        <f t="shared" si="13"/>
        <v>5.3582345720719298</v>
      </c>
      <c r="X51" s="37">
        <f t="shared" si="13"/>
        <v>5.3287115697398102</v>
      </c>
      <c r="Y51" s="37">
        <f t="shared" si="13"/>
        <v>5.3026531229271026</v>
      </c>
      <c r="Z51" s="37">
        <f t="shared" si="13"/>
        <v>5.2752318420187594</v>
      </c>
      <c r="AA51" s="37">
        <f t="shared" si="13"/>
        <v>5.2496807038214941</v>
      </c>
      <c r="AB51" s="37">
        <f t="shared" si="13"/>
        <v>5.2226938446153515</v>
      </c>
    </row>
    <row r="52" spans="1:28" x14ac:dyDescent="0.25">
      <c r="A52" s="4" t="s">
        <v>219</v>
      </c>
      <c r="B52" s="37">
        <f t="shared" ref="B52:AB52" si="14">B32*B15*$F$8</f>
        <v>4.3582557821814509</v>
      </c>
      <c r="C52" s="37">
        <f t="shared" si="14"/>
        <v>4.3982359163964437</v>
      </c>
      <c r="D52" s="37">
        <f t="shared" si="14"/>
        <v>4.4338188071892644</v>
      </c>
      <c r="E52" s="37">
        <f t="shared" si="14"/>
        <v>4.4750167260580387</v>
      </c>
      <c r="F52" s="37">
        <f t="shared" si="14"/>
        <v>4.5167972148711275</v>
      </c>
      <c r="G52" s="37">
        <f t="shared" si="14"/>
        <v>4.5591966362744589</v>
      </c>
      <c r="H52" s="37">
        <f t="shared" si="14"/>
        <v>4.6022772972773804</v>
      </c>
      <c r="I52" s="37">
        <f t="shared" si="14"/>
        <v>4.6698280492051323</v>
      </c>
      <c r="J52" s="37">
        <f t="shared" si="14"/>
        <v>4.7382744106204235</v>
      </c>
      <c r="K52" s="37">
        <f t="shared" si="14"/>
        <v>4.8182372033266461</v>
      </c>
      <c r="L52" s="37">
        <f t="shared" si="14"/>
        <v>4.888384449155363</v>
      </c>
      <c r="M52" s="37">
        <f t="shared" si="14"/>
        <v>4.9593962363707389</v>
      </c>
      <c r="N52" s="37">
        <f t="shared" si="14"/>
        <v>5.0313133830227015</v>
      </c>
      <c r="O52" s="37">
        <f t="shared" si="14"/>
        <v>5.1041780269864825</v>
      </c>
      <c r="P52" s="37">
        <f t="shared" si="14"/>
        <v>5.1723802368841652</v>
      </c>
      <c r="Q52" s="37">
        <f t="shared" si="14"/>
        <v>5.2471835050609226</v>
      </c>
      <c r="R52" s="37">
        <f t="shared" si="14"/>
        <v>5.3114963331817888</v>
      </c>
      <c r="S52" s="37">
        <f t="shared" si="14"/>
        <v>5.3842676688381008</v>
      </c>
      <c r="T52" s="37">
        <f t="shared" si="14"/>
        <v>5.4638588257366179</v>
      </c>
      <c r="U52" s="37">
        <f t="shared" si="14"/>
        <v>5.5326113752984689</v>
      </c>
      <c r="V52" s="37">
        <f t="shared" si="14"/>
        <v>5.6081344851520418</v>
      </c>
      <c r="W52" s="37">
        <f t="shared" si="14"/>
        <v>5.6844988148206728</v>
      </c>
      <c r="X52" s="37">
        <f t="shared" si="14"/>
        <v>5.7555206962731118</v>
      </c>
      <c r="Y52" s="37">
        <f t="shared" si="14"/>
        <v>5.8395593534715582</v>
      </c>
      <c r="Z52" s="37">
        <f t="shared" si="14"/>
        <v>5.9119132909648409</v>
      </c>
      <c r="AA52" s="37">
        <f t="shared" si="14"/>
        <v>5.9847778537151655</v>
      </c>
      <c r="AB52" s="37">
        <f t="shared" si="14"/>
        <v>6.0580869454118602</v>
      </c>
    </row>
    <row r="53" spans="1:28" x14ac:dyDescent="0.25">
      <c r="A53" s="4" t="s">
        <v>220</v>
      </c>
      <c r="B53" s="37">
        <f t="shared" ref="B53:AB53" si="15">B33*B15*$F$9</f>
        <v>19.703880209301492</v>
      </c>
      <c r="C53" s="37">
        <f t="shared" si="15"/>
        <v>19.985287137123173</v>
      </c>
      <c r="D53" s="37">
        <f t="shared" si="15"/>
        <v>20.208398895221968</v>
      </c>
      <c r="E53" s="37">
        <f t="shared" si="15"/>
        <v>20.460601032747014</v>
      </c>
      <c r="F53" s="37">
        <f t="shared" si="15"/>
        <v>20.702829816686819</v>
      </c>
      <c r="G53" s="37">
        <f t="shared" si="15"/>
        <v>20.921778240535815</v>
      </c>
      <c r="H53" s="37">
        <f t="shared" si="15"/>
        <v>21.197550819165812</v>
      </c>
      <c r="I53" s="37">
        <f t="shared" si="15"/>
        <v>21.533190393218508</v>
      </c>
      <c r="J53" s="37">
        <f t="shared" si="15"/>
        <v>21.887087028648111</v>
      </c>
      <c r="K53" s="37">
        <f t="shared" si="15"/>
        <v>22.20399876316154</v>
      </c>
      <c r="L53" s="37">
        <f t="shared" si="15"/>
        <v>22.538551464070899</v>
      </c>
      <c r="M53" s="37">
        <f t="shared" si="15"/>
        <v>22.835157827281655</v>
      </c>
      <c r="N53" s="37">
        <f t="shared" si="15"/>
        <v>23.163707031810066</v>
      </c>
      <c r="O53" s="37">
        <f t="shared" si="15"/>
        <v>23.467895132096594</v>
      </c>
      <c r="P53" s="37">
        <f t="shared" si="15"/>
        <v>23.747026748242703</v>
      </c>
      <c r="Q53" s="37">
        <f t="shared" si="15"/>
        <v>24.000341966934606</v>
      </c>
      <c r="R53" s="37">
        <f t="shared" si="15"/>
        <v>24.256578470727536</v>
      </c>
      <c r="S53" s="37">
        <f t="shared" si="15"/>
        <v>24.509163293725805</v>
      </c>
      <c r="T53" s="37">
        <f t="shared" si="15"/>
        <v>24.704045379477165</v>
      </c>
      <c r="U53" s="37">
        <f t="shared" si="15"/>
        <v>24.930684751426849</v>
      </c>
      <c r="V53" s="37">
        <f t="shared" si="15"/>
        <v>25.128242884648273</v>
      </c>
      <c r="W53" s="37">
        <f t="shared" si="15"/>
        <v>25.326630442607804</v>
      </c>
      <c r="X53" s="37">
        <f t="shared" si="15"/>
        <v>25.55700702430299</v>
      </c>
      <c r="Y53" s="37">
        <f t="shared" si="15"/>
        <v>25.740787093716477</v>
      </c>
      <c r="Z53" s="37">
        <f t="shared" si="15"/>
        <v>25.972485911024894</v>
      </c>
      <c r="AA53" s="37">
        <f t="shared" si="15"/>
        <v>26.156040999329583</v>
      </c>
      <c r="AB53" s="37">
        <f t="shared" si="15"/>
        <v>26.387895191332451</v>
      </c>
    </row>
    <row r="54" spans="1:28" x14ac:dyDescent="0.25">
      <c r="A54" s="4" t="s">
        <v>221</v>
      </c>
      <c r="B54" s="37">
        <f t="shared" ref="B54:AB54" si="16">B34*B15*$F$10</f>
        <v>34.648396703630667</v>
      </c>
      <c r="C54" s="37">
        <f t="shared" si="16"/>
        <v>34.98997962079401</v>
      </c>
      <c r="D54" s="37">
        <f t="shared" si="16"/>
        <v>35.315049801172364</v>
      </c>
      <c r="E54" s="37">
        <f t="shared" si="16"/>
        <v>35.653463698094477</v>
      </c>
      <c r="F54" s="37">
        <f t="shared" si="16"/>
        <v>36.024212481036052</v>
      </c>
      <c r="G54" s="37">
        <f t="shared" si="16"/>
        <v>36.363282213016433</v>
      </c>
      <c r="H54" s="37">
        <f t="shared" si="16"/>
        <v>36.698505697067233</v>
      </c>
      <c r="I54" s="37">
        <f t="shared" si="16"/>
        <v>37.219346415145075</v>
      </c>
      <c r="J54" s="37">
        <f t="shared" si="16"/>
        <v>37.728014876681151</v>
      </c>
      <c r="K54" s="37">
        <f t="shared" si="16"/>
        <v>38.222960024927907</v>
      </c>
      <c r="L54" s="37">
        <f t="shared" si="16"/>
        <v>38.694293332179512</v>
      </c>
      <c r="M54" s="37">
        <f t="shared" si="16"/>
        <v>39.141477406038078</v>
      </c>
      <c r="N54" s="37">
        <f t="shared" si="16"/>
        <v>39.563929568020441</v>
      </c>
      <c r="O54" s="37">
        <f t="shared" si="16"/>
        <v>39.961057308869393</v>
      </c>
      <c r="P54" s="37">
        <f t="shared" si="16"/>
        <v>40.302015233152638</v>
      </c>
      <c r="Q54" s="37">
        <f t="shared" si="16"/>
        <v>40.615628430669489</v>
      </c>
      <c r="R54" s="37">
        <f t="shared" si="16"/>
        <v>40.870261358647511</v>
      </c>
      <c r="S54" s="37">
        <f t="shared" si="16"/>
        <v>41.140246682946596</v>
      </c>
      <c r="T54" s="37">
        <f t="shared" si="16"/>
        <v>41.369488804534932</v>
      </c>
      <c r="U54" s="37">
        <f t="shared" si="16"/>
        <v>41.556480146806734</v>
      </c>
      <c r="V54" s="37">
        <f t="shared" si="16"/>
        <v>41.742337594244326</v>
      </c>
      <c r="W54" s="37">
        <f t="shared" si="16"/>
        <v>41.872545080216028</v>
      </c>
      <c r="X54" s="37">
        <f t="shared" si="16"/>
        <v>42.054166480028869</v>
      </c>
      <c r="Y54" s="37">
        <f t="shared" si="16"/>
        <v>42.222371474230101</v>
      </c>
      <c r="Z54" s="37">
        <f t="shared" si="16"/>
        <v>42.387483347288217</v>
      </c>
      <c r="AA54" s="37">
        <f t="shared" si="16"/>
        <v>42.560254866379132</v>
      </c>
      <c r="AB54" s="37">
        <f t="shared" si="16"/>
        <v>42.751891847077154</v>
      </c>
    </row>
    <row r="55" spans="1:28" x14ac:dyDescent="0.25">
      <c r="A55" s="4" t="s">
        <v>222</v>
      </c>
      <c r="B55" s="37">
        <f t="shared" ref="B55:AB55" si="17">B35*B15*$F$11</f>
        <v>140.51408312189639</v>
      </c>
      <c r="C55" s="37">
        <f t="shared" si="17"/>
        <v>139.92721507935659</v>
      </c>
      <c r="D55" s="37">
        <f t="shared" si="17"/>
        <v>139.14873546321215</v>
      </c>
      <c r="E55" s="37">
        <f t="shared" si="17"/>
        <v>138.3458278348175</v>
      </c>
      <c r="F55" s="37">
        <f t="shared" si="17"/>
        <v>137.46468655050106</v>
      </c>
      <c r="G55" s="37">
        <f t="shared" si="17"/>
        <v>136.60387396750886</v>
      </c>
      <c r="H55" s="37">
        <f t="shared" si="17"/>
        <v>135.72068104949531</v>
      </c>
      <c r="I55" s="37">
        <f t="shared" si="17"/>
        <v>135.51556634937225</v>
      </c>
      <c r="J55" s="37">
        <f t="shared" si="17"/>
        <v>135.26988860762111</v>
      </c>
      <c r="K55" s="37">
        <f t="shared" si="17"/>
        <v>134.96747038381451</v>
      </c>
      <c r="L55" s="37">
        <f t="shared" si="17"/>
        <v>134.63110694924202</v>
      </c>
      <c r="M55" s="37">
        <f t="shared" si="17"/>
        <v>134.2494679555148</v>
      </c>
      <c r="N55" s="37">
        <f t="shared" si="17"/>
        <v>133.84584328468631</v>
      </c>
      <c r="O55" s="37">
        <f t="shared" si="17"/>
        <v>133.37320154685605</v>
      </c>
      <c r="P55" s="37">
        <f t="shared" si="17"/>
        <v>132.86632580869673</v>
      </c>
      <c r="Q55" s="37">
        <f t="shared" si="17"/>
        <v>132.32477922832379</v>
      </c>
      <c r="R55" s="37">
        <f t="shared" si="17"/>
        <v>131.76016177187128</v>
      </c>
      <c r="S55" s="37">
        <f t="shared" si="17"/>
        <v>131.17944892876531</v>
      </c>
      <c r="T55" s="37">
        <f t="shared" si="17"/>
        <v>130.59730134215033</v>
      </c>
      <c r="U55" s="37">
        <f t="shared" si="17"/>
        <v>130.0386440020979</v>
      </c>
      <c r="V55" s="37">
        <f t="shared" si="17"/>
        <v>129.47801875325067</v>
      </c>
      <c r="W55" s="37">
        <f t="shared" si="17"/>
        <v>128.97888411738285</v>
      </c>
      <c r="X55" s="37">
        <f t="shared" si="17"/>
        <v>128.47717660653157</v>
      </c>
      <c r="Y55" s="37">
        <f t="shared" si="17"/>
        <v>128.01202249384377</v>
      </c>
      <c r="Z55" s="37">
        <f t="shared" si="17"/>
        <v>127.57048548217215</v>
      </c>
      <c r="AA55" s="37">
        <f t="shared" si="17"/>
        <v>127.13908571297773</v>
      </c>
      <c r="AB55" s="37">
        <f t="shared" si="17"/>
        <v>126.73095575471235</v>
      </c>
    </row>
    <row r="57" spans="1:28" x14ac:dyDescent="0.25">
      <c r="A57" s="4" t="s">
        <v>327</v>
      </c>
    </row>
    <row r="58" spans="1:28" x14ac:dyDescent="0.25">
      <c r="A58" s="4" t="s">
        <v>215</v>
      </c>
      <c r="B58" s="37">
        <f t="shared" ref="B58:AB58" si="18">B38*B15*$F$4</f>
        <v>15887.240157395412</v>
      </c>
      <c r="C58" s="37">
        <f t="shared" si="18"/>
        <v>16268.337886836767</v>
      </c>
      <c r="D58" s="37">
        <f t="shared" si="18"/>
        <v>16633.152524747144</v>
      </c>
      <c r="E58" s="37">
        <f t="shared" si="18"/>
        <v>17000.715622984659</v>
      </c>
      <c r="F58" s="37">
        <f t="shared" si="18"/>
        <v>17372.486851490732</v>
      </c>
      <c r="G58" s="37">
        <f t="shared" si="18"/>
        <v>17749.001061295887</v>
      </c>
      <c r="H58" s="37">
        <f t="shared" si="18"/>
        <v>18129.066057220844</v>
      </c>
      <c r="I58" s="37">
        <f t="shared" si="18"/>
        <v>18606.125921428382</v>
      </c>
      <c r="J58" s="37">
        <f t="shared" si="18"/>
        <v>19085.372708970175</v>
      </c>
      <c r="K58" s="37">
        <f t="shared" si="18"/>
        <v>19566.360674899013</v>
      </c>
      <c r="L58" s="37">
        <f t="shared" si="18"/>
        <v>20047.297911816284</v>
      </c>
      <c r="M58" s="37">
        <f t="shared" si="18"/>
        <v>20527.674097699284</v>
      </c>
      <c r="N58" s="37">
        <f t="shared" si="18"/>
        <v>21005.188165639916</v>
      </c>
      <c r="O58" s="37">
        <f t="shared" si="18"/>
        <v>21478.794006889886</v>
      </c>
      <c r="P58" s="37">
        <f t="shared" si="18"/>
        <v>21945.435040384433</v>
      </c>
      <c r="Q58" s="37">
        <f t="shared" si="18"/>
        <v>22404.302477014251</v>
      </c>
      <c r="R58" s="37">
        <f t="shared" si="18"/>
        <v>22851.588370486083</v>
      </c>
      <c r="S58" s="37">
        <f t="shared" si="18"/>
        <v>23294.916763361096</v>
      </c>
      <c r="T58" s="37">
        <f t="shared" si="18"/>
        <v>23724.770488586961</v>
      </c>
      <c r="U58" s="37">
        <f t="shared" si="18"/>
        <v>24141.84762661151</v>
      </c>
      <c r="V58" s="37">
        <f t="shared" si="18"/>
        <v>24539.724578953959</v>
      </c>
      <c r="W58" s="37">
        <f t="shared" si="18"/>
        <v>24919.097742942347</v>
      </c>
      <c r="X58" s="37">
        <f t="shared" si="18"/>
        <v>25277.853557259681</v>
      </c>
      <c r="Y58" s="37">
        <f t="shared" si="18"/>
        <v>25625.755411603248</v>
      </c>
      <c r="Z58" s="37">
        <f t="shared" si="18"/>
        <v>25952.896753713809</v>
      </c>
      <c r="AA58" s="37">
        <f t="shared" si="18"/>
        <v>26260.132290965412</v>
      </c>
      <c r="AB58" s="37">
        <f t="shared" si="18"/>
        <v>26549.153152265382</v>
      </c>
    </row>
    <row r="59" spans="1:28" x14ac:dyDescent="0.25">
      <c r="A59" s="4" t="s">
        <v>216</v>
      </c>
      <c r="B59" s="37">
        <f t="shared" ref="B59:AB59" si="19">B39*B15*$F$5</f>
        <v>14274.610354345339</v>
      </c>
      <c r="C59" s="37">
        <f t="shared" si="19"/>
        <v>14579.165532204457</v>
      </c>
      <c r="D59" s="37">
        <f t="shared" si="19"/>
        <v>14869.805629404016</v>
      </c>
      <c r="E59" s="37">
        <f t="shared" si="19"/>
        <v>15170.248464018081</v>
      </c>
      <c r="F59" s="37">
        <f t="shared" si="19"/>
        <v>15484.932212368452</v>
      </c>
      <c r="G59" s="37">
        <f t="shared" si="19"/>
        <v>15814.878130809961</v>
      </c>
      <c r="H59" s="37">
        <f t="shared" si="19"/>
        <v>16161.768077872037</v>
      </c>
      <c r="I59" s="37">
        <f t="shared" si="19"/>
        <v>16608.666673435298</v>
      </c>
      <c r="J59" s="37">
        <f t="shared" si="19"/>
        <v>17073.084934495582</v>
      </c>
      <c r="K59" s="37">
        <f t="shared" si="19"/>
        <v>17551.003917575432</v>
      </c>
      <c r="L59" s="37">
        <f t="shared" si="19"/>
        <v>18042.307721026838</v>
      </c>
      <c r="M59" s="37">
        <f t="shared" si="19"/>
        <v>18546.124935412732</v>
      </c>
      <c r="N59" s="37">
        <f t="shared" si="19"/>
        <v>19058.659165805799</v>
      </c>
      <c r="O59" s="37">
        <f t="shared" si="19"/>
        <v>19576.141668743145</v>
      </c>
      <c r="P59" s="37">
        <f t="shared" si="19"/>
        <v>20097.672037893251</v>
      </c>
      <c r="Q59" s="37">
        <f t="shared" si="19"/>
        <v>20617.594022199457</v>
      </c>
      <c r="R59" s="37">
        <f t="shared" si="19"/>
        <v>21134.087903472962</v>
      </c>
      <c r="S59" s="37">
        <f t="shared" si="19"/>
        <v>21650.332789869441</v>
      </c>
      <c r="T59" s="37">
        <f t="shared" si="19"/>
        <v>22157.184789199127</v>
      </c>
      <c r="U59" s="37">
        <f t="shared" si="19"/>
        <v>22652.069264661761</v>
      </c>
      <c r="V59" s="37">
        <f t="shared" si="19"/>
        <v>23129.219784918809</v>
      </c>
      <c r="W59" s="37">
        <f t="shared" si="19"/>
        <v>23583.163928249982</v>
      </c>
      <c r="X59" s="37">
        <f t="shared" si="19"/>
        <v>24014.236421081758</v>
      </c>
      <c r="Y59" s="37">
        <f t="shared" si="19"/>
        <v>24432.84433332779</v>
      </c>
      <c r="Z59" s="37">
        <f t="shared" si="19"/>
        <v>24827.814233190875</v>
      </c>
      <c r="AA59" s="37">
        <f t="shared" si="19"/>
        <v>25194.379625126316</v>
      </c>
      <c r="AB59" s="37">
        <f t="shared" si="19"/>
        <v>25531.943619450092</v>
      </c>
    </row>
    <row r="60" spans="1:28" x14ac:dyDescent="0.25">
      <c r="A60" s="4" t="s">
        <v>217</v>
      </c>
      <c r="B60" s="37">
        <f t="shared" ref="B60:AB60" si="20">B40*B15*$F$6</f>
        <v>28975.188879074241</v>
      </c>
      <c r="C60" s="37">
        <f t="shared" si="20"/>
        <v>29627.017662214887</v>
      </c>
      <c r="D60" s="37">
        <f t="shared" si="20"/>
        <v>30247.345862151673</v>
      </c>
      <c r="E60" s="37">
        <f t="shared" si="20"/>
        <v>30876.930383928651</v>
      </c>
      <c r="F60" s="37">
        <f t="shared" si="20"/>
        <v>31522.213680828921</v>
      </c>
      <c r="G60" s="37">
        <f t="shared" si="20"/>
        <v>32183.524131020375</v>
      </c>
      <c r="H60" s="37">
        <f t="shared" si="20"/>
        <v>32862.252565966199</v>
      </c>
      <c r="I60" s="37">
        <f t="shared" si="20"/>
        <v>33726.722961503154</v>
      </c>
      <c r="J60" s="37">
        <f t="shared" si="20"/>
        <v>34607.334693835008</v>
      </c>
      <c r="K60" s="37">
        <f t="shared" si="20"/>
        <v>35498.114623646121</v>
      </c>
      <c r="L60" s="37">
        <f t="shared" si="20"/>
        <v>36397.180801560738</v>
      </c>
      <c r="M60" s="37">
        <f t="shared" si="20"/>
        <v>37303.068216991254</v>
      </c>
      <c r="N60" s="37">
        <f t="shared" si="20"/>
        <v>38208.859924849719</v>
      </c>
      <c r="O60" s="37">
        <f t="shared" si="20"/>
        <v>39110.427865168946</v>
      </c>
      <c r="P60" s="37">
        <f t="shared" si="20"/>
        <v>40002.266228620836</v>
      </c>
      <c r="Q60" s="37">
        <f t="shared" si="20"/>
        <v>40878.364507505008</v>
      </c>
      <c r="R60" s="37">
        <f t="shared" si="20"/>
        <v>41732.695498450543</v>
      </c>
      <c r="S60" s="37">
        <f t="shared" si="20"/>
        <v>42575.149230947391</v>
      </c>
      <c r="T60" s="37">
        <f t="shared" si="20"/>
        <v>43387.973289979142</v>
      </c>
      <c r="U60" s="37">
        <f t="shared" si="20"/>
        <v>44169.809486676837</v>
      </c>
      <c r="V60" s="37">
        <f t="shared" si="20"/>
        <v>44907.445581145075</v>
      </c>
      <c r="W60" s="37">
        <f t="shared" si="20"/>
        <v>45595.735345053479</v>
      </c>
      <c r="X60" s="37">
        <f t="shared" si="20"/>
        <v>46233.797021271377</v>
      </c>
      <c r="Y60" s="37">
        <f t="shared" si="20"/>
        <v>46843.645920400006</v>
      </c>
      <c r="Z60" s="37">
        <f t="shared" si="20"/>
        <v>47402.999111298792</v>
      </c>
      <c r="AA60" s="37">
        <f t="shared" si="20"/>
        <v>47907.115959743052</v>
      </c>
      <c r="AB60" s="37">
        <f t="shared" si="20"/>
        <v>48358.243923939444</v>
      </c>
    </row>
    <row r="61" spans="1:28" x14ac:dyDescent="0.25">
      <c r="A61" s="4" t="s">
        <v>218</v>
      </c>
      <c r="B61" s="37">
        <f t="shared" ref="B61:AB61" si="21">B41*B15*$F$7</f>
        <v>478.51525310356396</v>
      </c>
      <c r="C61" s="37">
        <f t="shared" si="21"/>
        <v>488.48784754006562</v>
      </c>
      <c r="D61" s="37">
        <f t="shared" si="21"/>
        <v>498.01299181459808</v>
      </c>
      <c r="E61" s="37">
        <f t="shared" si="21"/>
        <v>507.66318865158809</v>
      </c>
      <c r="F61" s="37">
        <f t="shared" si="21"/>
        <v>517.60706268453521</v>
      </c>
      <c r="G61" s="37">
        <f t="shared" si="21"/>
        <v>527.86356190247909</v>
      </c>
      <c r="H61" s="37">
        <f t="shared" si="21"/>
        <v>538.42515322925476</v>
      </c>
      <c r="I61" s="37">
        <f t="shared" si="21"/>
        <v>552.12515840905871</v>
      </c>
      <c r="J61" s="37">
        <f t="shared" si="21"/>
        <v>566.19858107731795</v>
      </c>
      <c r="K61" s="37">
        <f t="shared" si="21"/>
        <v>580.61733393805014</v>
      </c>
      <c r="L61" s="37">
        <f t="shared" si="21"/>
        <v>595.38951117096155</v>
      </c>
      <c r="M61" s="37">
        <f t="shared" si="21"/>
        <v>610.49162465334814</v>
      </c>
      <c r="N61" s="37">
        <f t="shared" si="21"/>
        <v>625.95941553958323</v>
      </c>
      <c r="O61" s="37">
        <f t="shared" si="21"/>
        <v>641.64010565360434</v>
      </c>
      <c r="P61" s="37">
        <f t="shared" si="21"/>
        <v>657.60712576683227</v>
      </c>
      <c r="Q61" s="37">
        <f t="shared" si="21"/>
        <v>673.72976245468772</v>
      </c>
      <c r="R61" s="37">
        <f t="shared" si="21"/>
        <v>689.99157879054542</v>
      </c>
      <c r="S61" s="37">
        <f t="shared" si="21"/>
        <v>706.63400259550997</v>
      </c>
      <c r="T61" s="37">
        <f t="shared" si="21"/>
        <v>723.28362399221282</v>
      </c>
      <c r="U61" s="37">
        <f t="shared" si="21"/>
        <v>739.94501216909032</v>
      </c>
      <c r="V61" s="37">
        <f t="shared" si="21"/>
        <v>756.52441552198627</v>
      </c>
      <c r="W61" s="37">
        <f t="shared" si="21"/>
        <v>772.87023235982531</v>
      </c>
      <c r="X61" s="37">
        <f t="shared" si="21"/>
        <v>788.91526725852634</v>
      </c>
      <c r="Y61" s="37">
        <f t="shared" si="21"/>
        <v>804.84433096208204</v>
      </c>
      <c r="Z61" s="37">
        <f t="shared" si="21"/>
        <v>820.42282843949465</v>
      </c>
      <c r="AA61" s="37">
        <f t="shared" si="21"/>
        <v>835.62593765804047</v>
      </c>
      <c r="AB61" s="37">
        <f t="shared" si="21"/>
        <v>850.34799907120612</v>
      </c>
    </row>
    <row r="62" spans="1:28" x14ac:dyDescent="0.25">
      <c r="A62" s="4" t="s">
        <v>219</v>
      </c>
      <c r="B62" s="37">
        <f t="shared" ref="B62:AB62" si="22">B42*B15*$F$8</f>
        <v>616.80202302689474</v>
      </c>
      <c r="C62" s="37">
        <f t="shared" si="22"/>
        <v>634.90368051481153</v>
      </c>
      <c r="D62" s="37">
        <f t="shared" si="22"/>
        <v>652.94246558744055</v>
      </c>
      <c r="E62" s="37">
        <f t="shared" si="22"/>
        <v>672.13107131990671</v>
      </c>
      <c r="F62" s="37">
        <f t="shared" si="22"/>
        <v>692.68569676471634</v>
      </c>
      <c r="G62" s="37">
        <f t="shared" si="22"/>
        <v>714.61646844067104</v>
      </c>
      <c r="H62" s="37">
        <f t="shared" si="22"/>
        <v>737.99575238210195</v>
      </c>
      <c r="I62" s="37">
        <f t="shared" si="22"/>
        <v>766.75207131700813</v>
      </c>
      <c r="J62" s="37">
        <f t="shared" si="22"/>
        <v>796.81715442168547</v>
      </c>
      <c r="K62" s="37">
        <f t="shared" si="22"/>
        <v>828.05998973291992</v>
      </c>
      <c r="L62" s="37">
        <f t="shared" si="22"/>
        <v>860.71917221681929</v>
      </c>
      <c r="M62" s="37">
        <f t="shared" si="22"/>
        <v>894.65864105375738</v>
      </c>
      <c r="N62" s="37">
        <f t="shared" si="22"/>
        <v>929.79114118117229</v>
      </c>
      <c r="O62" s="37">
        <f t="shared" si="22"/>
        <v>965.97547508095658</v>
      </c>
      <c r="P62" s="37">
        <f t="shared" si="22"/>
        <v>1003.1424906798131</v>
      </c>
      <c r="Q62" s="37">
        <f t="shared" si="22"/>
        <v>1041.1153523883977</v>
      </c>
      <c r="R62" s="37">
        <f t="shared" si="22"/>
        <v>1079.8064655046219</v>
      </c>
      <c r="S62" s="37">
        <f t="shared" si="22"/>
        <v>1119.4154420860461</v>
      </c>
      <c r="T62" s="37">
        <f t="shared" si="22"/>
        <v>1159.5966994616613</v>
      </c>
      <c r="U62" s="37">
        <f t="shared" si="22"/>
        <v>1200.0953134221531</v>
      </c>
      <c r="V62" s="37">
        <f t="shared" si="22"/>
        <v>1240.9408588660144</v>
      </c>
      <c r="W62" s="37">
        <f t="shared" si="22"/>
        <v>1282.0395171218399</v>
      </c>
      <c r="X62" s="37">
        <f t="shared" si="22"/>
        <v>1323.4878070522634</v>
      </c>
      <c r="Y62" s="37">
        <f t="shared" si="22"/>
        <v>1365.1874192876769</v>
      </c>
      <c r="Z62" s="37">
        <f t="shared" si="22"/>
        <v>1407.1667391005424</v>
      </c>
      <c r="AA62" s="37">
        <f t="shared" si="22"/>
        <v>1449.3969132632571</v>
      </c>
      <c r="AB62" s="37">
        <f t="shared" si="22"/>
        <v>1491.7576288215228</v>
      </c>
    </row>
    <row r="63" spans="1:28" x14ac:dyDescent="0.25">
      <c r="A63" s="4" t="s">
        <v>220</v>
      </c>
      <c r="B63" s="37">
        <f t="shared" ref="B63:AB63" si="23">B43*B15*$F$9</f>
        <v>868.80093152119684</v>
      </c>
      <c r="C63" s="37">
        <f t="shared" si="23"/>
        <v>893.04601496538703</v>
      </c>
      <c r="D63" s="37">
        <f t="shared" si="23"/>
        <v>917.32492609972223</v>
      </c>
      <c r="E63" s="37">
        <f t="shared" si="23"/>
        <v>943.55912734274023</v>
      </c>
      <c r="F63" s="37">
        <f t="shared" si="23"/>
        <v>970.21349834658577</v>
      </c>
      <c r="G63" s="37">
        <f t="shared" si="23"/>
        <v>998.68572216711516</v>
      </c>
      <c r="H63" s="37">
        <f t="shared" si="23"/>
        <v>1028.0945801461999</v>
      </c>
      <c r="I63" s="37">
        <f t="shared" si="23"/>
        <v>1063.6586028279037</v>
      </c>
      <c r="J63" s="37">
        <f t="shared" si="23"/>
        <v>1100.2590920451187</v>
      </c>
      <c r="K63" s="37">
        <f t="shared" si="23"/>
        <v>1139.1119688056428</v>
      </c>
      <c r="L63" s="37">
        <f t="shared" si="23"/>
        <v>1179.1697094674871</v>
      </c>
      <c r="M63" s="37">
        <f t="shared" si="23"/>
        <v>1220.8167208633358</v>
      </c>
      <c r="N63" s="37">
        <f t="shared" si="23"/>
        <v>1263.5433156206052</v>
      </c>
      <c r="O63" s="37">
        <f t="shared" si="23"/>
        <v>1307.4642466936307</v>
      </c>
      <c r="P63" s="37">
        <f t="shared" si="23"/>
        <v>1352.9434092980518</v>
      </c>
      <c r="Q63" s="37">
        <f t="shared" si="23"/>
        <v>1399.8298173913743</v>
      </c>
      <c r="R63" s="37">
        <f t="shared" si="23"/>
        <v>1447.8754643693524</v>
      </c>
      <c r="S63" s="37">
        <f t="shared" si="23"/>
        <v>1497.1635845618634</v>
      </c>
      <c r="T63" s="37">
        <f t="shared" si="23"/>
        <v>1547.6224765659642</v>
      </c>
      <c r="U63" s="37">
        <f t="shared" si="23"/>
        <v>1598.8554059411399</v>
      </c>
      <c r="V63" s="37">
        <f t="shared" si="23"/>
        <v>1650.395893578235</v>
      </c>
      <c r="W63" s="37">
        <f t="shared" si="23"/>
        <v>1703.2470110619875</v>
      </c>
      <c r="X63" s="37">
        <f t="shared" si="23"/>
        <v>1756.5962780006628</v>
      </c>
      <c r="Y63" s="37">
        <f t="shared" si="23"/>
        <v>1810.9382120552837</v>
      </c>
      <c r="Z63" s="37">
        <f t="shared" si="23"/>
        <v>1865.5752681155011</v>
      </c>
      <c r="AA63" s="37">
        <f t="shared" si="23"/>
        <v>1920.7674122704707</v>
      </c>
      <c r="AB63" s="37">
        <f t="shared" si="23"/>
        <v>1976.8003866658232</v>
      </c>
    </row>
    <row r="64" spans="1:28" x14ac:dyDescent="0.25">
      <c r="A64" s="4" t="s">
        <v>221</v>
      </c>
      <c r="B64" s="37">
        <f t="shared" ref="B64:AB64" si="24">B44*B15*$F$10</f>
        <v>2255.9795708437887</v>
      </c>
      <c r="C64" s="37">
        <f t="shared" si="24"/>
        <v>2348.7738225668022</v>
      </c>
      <c r="D64" s="37">
        <f t="shared" si="24"/>
        <v>2441.4957152476577</v>
      </c>
      <c r="E64" s="37">
        <f t="shared" si="24"/>
        <v>2537.072642516639</v>
      </c>
      <c r="F64" s="37">
        <f t="shared" si="24"/>
        <v>2635.5722297253187</v>
      </c>
      <c r="G64" s="37">
        <f t="shared" si="24"/>
        <v>2737.3583751122364</v>
      </c>
      <c r="H64" s="37">
        <f t="shared" si="24"/>
        <v>2843.3771861533578</v>
      </c>
      <c r="I64" s="37">
        <f t="shared" si="24"/>
        <v>2968.8034654528674</v>
      </c>
      <c r="J64" s="37">
        <f t="shared" si="24"/>
        <v>3098.7579483340101</v>
      </c>
      <c r="K64" s="37">
        <f t="shared" si="24"/>
        <v>3234.0472322819542</v>
      </c>
      <c r="L64" s="37">
        <f t="shared" si="24"/>
        <v>3375.3374347019503</v>
      </c>
      <c r="M64" s="37">
        <f t="shared" si="24"/>
        <v>3521.9224020163056</v>
      </c>
      <c r="N64" s="37">
        <f t="shared" si="24"/>
        <v>3674.8291648501258</v>
      </c>
      <c r="O64" s="37">
        <f t="shared" si="24"/>
        <v>3833.5715277114491</v>
      </c>
      <c r="P64" s="37">
        <f t="shared" si="24"/>
        <v>3998.0907291557155</v>
      </c>
      <c r="Q64" s="37">
        <f t="shared" si="24"/>
        <v>4168.6718251496304</v>
      </c>
      <c r="R64" s="37">
        <f t="shared" si="24"/>
        <v>4344.5775668379711</v>
      </c>
      <c r="S64" s="37">
        <f t="shared" si="24"/>
        <v>4527.4187960830577</v>
      </c>
      <c r="T64" s="37">
        <f t="shared" si="24"/>
        <v>4715.7443987620891</v>
      </c>
      <c r="U64" s="37">
        <f t="shared" si="24"/>
        <v>4909.3198969762007</v>
      </c>
      <c r="V64" s="37">
        <f t="shared" si="24"/>
        <v>5107.5564746212467</v>
      </c>
      <c r="W64" s="37">
        <f t="shared" si="24"/>
        <v>5309.791167751463</v>
      </c>
      <c r="X64" s="37">
        <f t="shared" si="24"/>
        <v>5516.6983283305617</v>
      </c>
      <c r="Y64" s="37">
        <f t="shared" si="24"/>
        <v>5727.2009386031414</v>
      </c>
      <c r="Z64" s="37">
        <f t="shared" si="24"/>
        <v>5941.226775557594</v>
      </c>
      <c r="AA64" s="37">
        <f t="shared" si="24"/>
        <v>6157.4293683092346</v>
      </c>
      <c r="AB64" s="37">
        <f t="shared" si="24"/>
        <v>6375.5948642228041</v>
      </c>
    </row>
    <row r="65" spans="1:28" x14ac:dyDescent="0.25">
      <c r="A65" s="4" t="s">
        <v>222</v>
      </c>
      <c r="B65" s="37">
        <f t="shared" ref="B65:AB65" si="25">B45*B15*$F$11</f>
        <v>28422.729596553549</v>
      </c>
      <c r="C65" s="37">
        <f t="shared" si="25"/>
        <v>29018.468165045542</v>
      </c>
      <c r="D65" s="37">
        <f t="shared" si="25"/>
        <v>29583.162316994392</v>
      </c>
      <c r="E65" s="37">
        <f t="shared" si="25"/>
        <v>30157.579601611054</v>
      </c>
      <c r="F65" s="37">
        <f t="shared" si="25"/>
        <v>30747.799020420942</v>
      </c>
      <c r="G65" s="37">
        <f t="shared" si="25"/>
        <v>31355.005243993863</v>
      </c>
      <c r="H65" s="37">
        <f t="shared" si="25"/>
        <v>31978.643209292277</v>
      </c>
      <c r="I65" s="37">
        <f t="shared" si="25"/>
        <v>32782.672043532322</v>
      </c>
      <c r="J65" s="37">
        <f t="shared" si="25"/>
        <v>33602.011382755809</v>
      </c>
      <c r="K65" s="37">
        <f t="shared" si="25"/>
        <v>34431.006892089477</v>
      </c>
      <c r="L65" s="37">
        <f t="shared" si="25"/>
        <v>35266.933530021961</v>
      </c>
      <c r="M65" s="37">
        <f t="shared" si="25"/>
        <v>36109.197379146586</v>
      </c>
      <c r="N65" s="37">
        <f t="shared" si="25"/>
        <v>36950.243394635312</v>
      </c>
      <c r="O65" s="37">
        <f t="shared" si="25"/>
        <v>37785.615596156742</v>
      </c>
      <c r="P65" s="37">
        <f t="shared" si="25"/>
        <v>38611.347531720538</v>
      </c>
      <c r="Q65" s="37">
        <f t="shared" si="25"/>
        <v>39420.311022284914</v>
      </c>
      <c r="R65" s="37">
        <f t="shared" si="25"/>
        <v>40207.61881263469</v>
      </c>
      <c r="S65" s="37">
        <f t="shared" si="25"/>
        <v>40982.405167115772</v>
      </c>
      <c r="T65" s="37">
        <f t="shared" si="25"/>
        <v>41727.136508912612</v>
      </c>
      <c r="U65" s="37">
        <f t="shared" si="25"/>
        <v>42440.07857901149</v>
      </c>
      <c r="V65" s="37">
        <f t="shared" si="25"/>
        <v>43109.359573305002</v>
      </c>
      <c r="W65" s="37">
        <f t="shared" si="25"/>
        <v>43730.694483829378</v>
      </c>
      <c r="X65" s="37">
        <f t="shared" si="25"/>
        <v>44301.499516892189</v>
      </c>
      <c r="Y65" s="37">
        <f t="shared" si="25"/>
        <v>44843.902644405403</v>
      </c>
      <c r="Z65" s="37">
        <f t="shared" si="25"/>
        <v>45336.191469328827</v>
      </c>
      <c r="AA65" s="37">
        <f t="shared" si="25"/>
        <v>45775.800502012295</v>
      </c>
      <c r="AB65" s="37">
        <f t="shared" si="25"/>
        <v>46164.06160990597</v>
      </c>
    </row>
    <row r="67" spans="1:28" x14ac:dyDescent="0.25">
      <c r="A67" s="4" t="s">
        <v>328</v>
      </c>
    </row>
    <row r="68" spans="1:28" x14ac:dyDescent="0.25">
      <c r="A68" s="4" t="s">
        <v>329</v>
      </c>
      <c r="B68" s="40">
        <f t="shared" ref="B68:AB68" si="26">B48+B49</f>
        <v>176.5737456543595</v>
      </c>
      <c r="C68" s="40">
        <f t="shared" si="26"/>
        <v>176.39494476782011</v>
      </c>
      <c r="D68" s="40">
        <f t="shared" si="26"/>
        <v>176.01068064197233</v>
      </c>
      <c r="E68" s="40">
        <f t="shared" si="26"/>
        <v>175.61835485284621</v>
      </c>
      <c r="F68" s="40">
        <f t="shared" si="26"/>
        <v>175.18752929838632</v>
      </c>
      <c r="G68" s="40">
        <f t="shared" si="26"/>
        <v>174.73932549852771</v>
      </c>
      <c r="H68" s="40">
        <f t="shared" si="26"/>
        <v>174.26472948009916</v>
      </c>
      <c r="I68" s="40">
        <f t="shared" si="26"/>
        <v>174.66532643537988</v>
      </c>
      <c r="J68" s="40">
        <f t="shared" si="26"/>
        <v>175.01004304170837</v>
      </c>
      <c r="K68" s="40">
        <f t="shared" si="26"/>
        <v>175.28553743014714</v>
      </c>
      <c r="L68" s="40">
        <f t="shared" si="26"/>
        <v>175.49878300781586</v>
      </c>
      <c r="M68" s="40">
        <f t="shared" si="26"/>
        <v>175.641911862916</v>
      </c>
      <c r="N68" s="40">
        <f t="shared" si="26"/>
        <v>175.73686889029409</v>
      </c>
      <c r="O68" s="40">
        <f t="shared" si="26"/>
        <v>175.73127550307927</v>
      </c>
      <c r="P68" s="40">
        <f t="shared" si="26"/>
        <v>175.63090150841865</v>
      </c>
      <c r="Q68" s="40">
        <f t="shared" si="26"/>
        <v>175.46317679265448</v>
      </c>
      <c r="R68" s="40">
        <f t="shared" si="26"/>
        <v>175.20594407564948</v>
      </c>
      <c r="S68" s="40">
        <f t="shared" si="26"/>
        <v>174.95004211362991</v>
      </c>
      <c r="T68" s="40">
        <f t="shared" si="26"/>
        <v>174.64611860631072</v>
      </c>
      <c r="U68" s="40">
        <f t="shared" si="26"/>
        <v>174.31604644145477</v>
      </c>
      <c r="V68" s="40">
        <f t="shared" si="26"/>
        <v>173.98206372376302</v>
      </c>
      <c r="W68" s="40">
        <f t="shared" si="26"/>
        <v>173.6432591756307</v>
      </c>
      <c r="X68" s="40">
        <f t="shared" si="26"/>
        <v>173.36368693316859</v>
      </c>
      <c r="Y68" s="40">
        <f t="shared" si="26"/>
        <v>173.1027842960564</v>
      </c>
      <c r="Z68" s="40">
        <f t="shared" si="26"/>
        <v>172.8627776769398</v>
      </c>
      <c r="AA68" s="40">
        <f t="shared" si="26"/>
        <v>172.64073715347354</v>
      </c>
      <c r="AB68" s="40">
        <f t="shared" si="26"/>
        <v>172.46112177024554</v>
      </c>
    </row>
    <row r="69" spans="1:28" x14ac:dyDescent="0.25">
      <c r="A69" s="4" t="s">
        <v>330</v>
      </c>
      <c r="B69" s="40">
        <f t="shared" ref="B69:AB69" si="27">B50+B51+B52+B53</f>
        <v>152.09982258236883</v>
      </c>
      <c r="C69" s="40">
        <f t="shared" si="27"/>
        <v>152.25529563635718</v>
      </c>
      <c r="D69" s="40">
        <f t="shared" si="27"/>
        <v>152.22037980024984</v>
      </c>
      <c r="E69" s="40">
        <f t="shared" si="27"/>
        <v>152.19389757918591</v>
      </c>
      <c r="F69" s="40">
        <f t="shared" si="27"/>
        <v>152.1452668357073</v>
      </c>
      <c r="G69" s="40">
        <f t="shared" si="27"/>
        <v>152.0769952681936</v>
      </c>
      <c r="H69" s="40">
        <f t="shared" si="27"/>
        <v>152.01554192157943</v>
      </c>
      <c r="I69" s="40">
        <f t="shared" si="27"/>
        <v>152.70027089167161</v>
      </c>
      <c r="J69" s="40">
        <f t="shared" si="27"/>
        <v>153.33204525122738</v>
      </c>
      <c r="K69" s="40">
        <f t="shared" si="27"/>
        <v>153.87369921597278</v>
      </c>
      <c r="L69" s="40">
        <f t="shared" si="27"/>
        <v>154.34737511165426</v>
      </c>
      <c r="M69" s="40">
        <f t="shared" si="27"/>
        <v>154.70841295291234</v>
      </c>
      <c r="N69" s="40">
        <f t="shared" si="27"/>
        <v>155.02108413040841</v>
      </c>
      <c r="O69" s="40">
        <f t="shared" si="27"/>
        <v>155.19105265936196</v>
      </c>
      <c r="P69" s="40">
        <f t="shared" si="27"/>
        <v>155.25990661617243</v>
      </c>
      <c r="Q69" s="40">
        <f t="shared" si="27"/>
        <v>155.22554847666441</v>
      </c>
      <c r="R69" s="40">
        <f t="shared" si="27"/>
        <v>155.09592135725222</v>
      </c>
      <c r="S69" s="40">
        <f t="shared" si="27"/>
        <v>154.95025499629023</v>
      </c>
      <c r="T69" s="40">
        <f t="shared" si="27"/>
        <v>154.73179427110375</v>
      </c>
      <c r="U69" s="40">
        <f t="shared" si="27"/>
        <v>154.50982218655594</v>
      </c>
      <c r="V69" s="40">
        <f t="shared" si="27"/>
        <v>154.25746537366135</v>
      </c>
      <c r="W69" s="40">
        <f t="shared" si="27"/>
        <v>154.02247365905311</v>
      </c>
      <c r="X69" s="40">
        <f t="shared" si="27"/>
        <v>153.84922180173902</v>
      </c>
      <c r="Y69" s="40">
        <f t="shared" si="27"/>
        <v>153.64973018335158</v>
      </c>
      <c r="Z69" s="40">
        <f t="shared" si="27"/>
        <v>153.50366596954512</v>
      </c>
      <c r="AA69" s="40">
        <f t="shared" si="27"/>
        <v>153.36111969041406</v>
      </c>
      <c r="AB69" s="40">
        <f t="shared" si="27"/>
        <v>153.28482709106427</v>
      </c>
    </row>
    <row r="70" spans="1:28" x14ac:dyDescent="0.25">
      <c r="A70" s="4" t="s">
        <v>331</v>
      </c>
      <c r="B70" s="40">
        <f t="shared" ref="B70:AB70" si="28">B54+B55</f>
        <v>175.16247982552704</v>
      </c>
      <c r="C70" s="40">
        <f t="shared" si="28"/>
        <v>174.91719470015059</v>
      </c>
      <c r="D70" s="40">
        <f t="shared" si="28"/>
        <v>174.46378526438451</v>
      </c>
      <c r="E70" s="40">
        <f t="shared" si="28"/>
        <v>173.99929153291197</v>
      </c>
      <c r="F70" s="40">
        <f t="shared" si="28"/>
        <v>173.4888990315371</v>
      </c>
      <c r="G70" s="40">
        <f t="shared" si="28"/>
        <v>172.96715618052531</v>
      </c>
      <c r="H70" s="40">
        <f t="shared" si="28"/>
        <v>172.41918674656256</v>
      </c>
      <c r="I70" s="40">
        <f t="shared" si="28"/>
        <v>172.73491276451733</v>
      </c>
      <c r="J70" s="40">
        <f t="shared" si="28"/>
        <v>172.99790348430227</v>
      </c>
      <c r="K70" s="40">
        <f t="shared" si="28"/>
        <v>173.19043040874243</v>
      </c>
      <c r="L70" s="40">
        <f t="shared" si="28"/>
        <v>173.32540028142154</v>
      </c>
      <c r="M70" s="40">
        <f t="shared" si="28"/>
        <v>173.39094536155289</v>
      </c>
      <c r="N70" s="40">
        <f t="shared" si="28"/>
        <v>173.40977285270674</v>
      </c>
      <c r="O70" s="40">
        <f t="shared" si="28"/>
        <v>173.33425885572544</v>
      </c>
      <c r="P70" s="40">
        <f t="shared" si="28"/>
        <v>173.16834104184937</v>
      </c>
      <c r="Q70" s="40">
        <f t="shared" si="28"/>
        <v>172.94040765899328</v>
      </c>
      <c r="R70" s="40">
        <f t="shared" si="28"/>
        <v>172.63042313051881</v>
      </c>
      <c r="S70" s="40">
        <f t="shared" si="28"/>
        <v>172.31969561171189</v>
      </c>
      <c r="T70" s="40">
        <f t="shared" si="28"/>
        <v>171.96679014668527</v>
      </c>
      <c r="U70" s="40">
        <f t="shared" si="28"/>
        <v>171.59512414890463</v>
      </c>
      <c r="V70" s="40">
        <f t="shared" si="28"/>
        <v>171.220356347495</v>
      </c>
      <c r="W70" s="40">
        <f t="shared" si="28"/>
        <v>170.85142919759886</v>
      </c>
      <c r="X70" s="40">
        <f t="shared" si="28"/>
        <v>170.53134308656044</v>
      </c>
      <c r="Y70" s="40">
        <f t="shared" si="28"/>
        <v>170.23439396807387</v>
      </c>
      <c r="Z70" s="40">
        <f t="shared" si="28"/>
        <v>169.95796882946036</v>
      </c>
      <c r="AA70" s="40">
        <f t="shared" si="28"/>
        <v>169.69934057935686</v>
      </c>
      <c r="AB70" s="40">
        <f t="shared" si="28"/>
        <v>169.4828476017895</v>
      </c>
    </row>
    <row r="71" spans="1:28" x14ac:dyDescent="0.25">
      <c r="A71" s="4" t="s">
        <v>332</v>
      </c>
      <c r="B71" s="40">
        <f t="shared" ref="B71:AB71" si="29">B58+B59</f>
        <v>30161.850511740751</v>
      </c>
      <c r="C71" s="40">
        <f t="shared" si="29"/>
        <v>30847.503419041226</v>
      </c>
      <c r="D71" s="40">
        <f t="shared" si="29"/>
        <v>31502.958154151158</v>
      </c>
      <c r="E71" s="40">
        <f t="shared" si="29"/>
        <v>32170.96408700274</v>
      </c>
      <c r="F71" s="40">
        <f t="shared" si="29"/>
        <v>32857.419063859183</v>
      </c>
      <c r="G71" s="40">
        <f t="shared" si="29"/>
        <v>33563.879192105844</v>
      </c>
      <c r="H71" s="40">
        <f t="shared" si="29"/>
        <v>34290.834135092882</v>
      </c>
      <c r="I71" s="40">
        <f t="shared" si="29"/>
        <v>35214.792594863684</v>
      </c>
      <c r="J71" s="40">
        <f t="shared" si="29"/>
        <v>36158.457643465757</v>
      </c>
      <c r="K71" s="40">
        <f t="shared" si="29"/>
        <v>37117.364592474449</v>
      </c>
      <c r="L71" s="40">
        <f t="shared" si="29"/>
        <v>38089.605632843122</v>
      </c>
      <c r="M71" s="40">
        <f t="shared" si="29"/>
        <v>39073.799033112016</v>
      </c>
      <c r="N71" s="40">
        <f t="shared" si="29"/>
        <v>40063.847331445715</v>
      </c>
      <c r="O71" s="40">
        <f t="shared" si="29"/>
        <v>41054.935675633031</v>
      </c>
      <c r="P71" s="40">
        <f t="shared" si="29"/>
        <v>42043.107078277681</v>
      </c>
      <c r="Q71" s="40">
        <f t="shared" si="29"/>
        <v>43021.896499213704</v>
      </c>
      <c r="R71" s="40">
        <f t="shared" si="29"/>
        <v>43985.676273959049</v>
      </c>
      <c r="S71" s="40">
        <f t="shared" si="29"/>
        <v>44945.249553230533</v>
      </c>
      <c r="T71" s="40">
        <f t="shared" si="29"/>
        <v>45881.955277786088</v>
      </c>
      <c r="U71" s="40">
        <f t="shared" si="29"/>
        <v>46793.916891273271</v>
      </c>
      <c r="V71" s="40">
        <f t="shared" si="29"/>
        <v>47668.944363872768</v>
      </c>
      <c r="W71" s="40">
        <f t="shared" si="29"/>
        <v>48502.261671192333</v>
      </c>
      <c r="X71" s="40">
        <f t="shared" si="29"/>
        <v>49292.089978341435</v>
      </c>
      <c r="Y71" s="40">
        <f t="shared" si="29"/>
        <v>50058.599744931038</v>
      </c>
      <c r="Z71" s="40">
        <f t="shared" si="29"/>
        <v>50780.710986904684</v>
      </c>
      <c r="AA71" s="40">
        <f t="shared" si="29"/>
        <v>51454.511916091724</v>
      </c>
      <c r="AB71" s="40">
        <f t="shared" si="29"/>
        <v>52081.096771715471</v>
      </c>
    </row>
    <row r="72" spans="1:28" x14ac:dyDescent="0.25">
      <c r="A72" s="4" t="s">
        <v>333</v>
      </c>
      <c r="B72" s="40">
        <f t="shared" ref="B72:AB72" si="30">B60+B61+B62+B63</f>
        <v>30939.307086725898</v>
      </c>
      <c r="C72" s="40">
        <f t="shared" si="30"/>
        <v>31643.45520523515</v>
      </c>
      <c r="D72" s="40">
        <f t="shared" si="30"/>
        <v>32315.626245653431</v>
      </c>
      <c r="E72" s="40">
        <f t="shared" si="30"/>
        <v>33000.283771242888</v>
      </c>
      <c r="F72" s="40">
        <f t="shared" si="30"/>
        <v>33702.719938624759</v>
      </c>
      <c r="G72" s="40">
        <f t="shared" si="30"/>
        <v>34424.689883530642</v>
      </c>
      <c r="H72" s="40">
        <f t="shared" si="30"/>
        <v>35166.768051723753</v>
      </c>
      <c r="I72" s="40">
        <f t="shared" si="30"/>
        <v>36109.258794057125</v>
      </c>
      <c r="J72" s="40">
        <f t="shared" si="30"/>
        <v>37070.609521379127</v>
      </c>
      <c r="K72" s="40">
        <f t="shared" si="30"/>
        <v>38045.903916122734</v>
      </c>
      <c r="L72" s="40">
        <f t="shared" si="30"/>
        <v>39032.459194416013</v>
      </c>
      <c r="M72" s="40">
        <f t="shared" si="30"/>
        <v>40029.035203561696</v>
      </c>
      <c r="N72" s="40">
        <f t="shared" si="30"/>
        <v>41028.15379719108</v>
      </c>
      <c r="O72" s="40">
        <f t="shared" si="30"/>
        <v>42025.507692597137</v>
      </c>
      <c r="P72" s="40">
        <f t="shared" si="30"/>
        <v>43015.959254365531</v>
      </c>
      <c r="Q72" s="40">
        <f t="shared" si="30"/>
        <v>43993.039439739463</v>
      </c>
      <c r="R72" s="40">
        <f t="shared" si="30"/>
        <v>44950.369007115063</v>
      </c>
      <c r="S72" s="40">
        <f t="shared" si="30"/>
        <v>45898.362260190806</v>
      </c>
      <c r="T72" s="40">
        <f t="shared" si="30"/>
        <v>46818.476089998978</v>
      </c>
      <c r="U72" s="40">
        <f t="shared" si="30"/>
        <v>47708.705218209223</v>
      </c>
      <c r="V72" s="40">
        <f t="shared" si="30"/>
        <v>48555.306749111311</v>
      </c>
      <c r="W72" s="40">
        <f t="shared" si="30"/>
        <v>49353.892105597137</v>
      </c>
      <c r="X72" s="40">
        <f t="shared" si="30"/>
        <v>50102.796373582823</v>
      </c>
      <c r="Y72" s="40">
        <f t="shared" si="30"/>
        <v>50824.615882705053</v>
      </c>
      <c r="Z72" s="40">
        <f t="shared" si="30"/>
        <v>51496.163946954322</v>
      </c>
      <c r="AA72" s="40">
        <f t="shared" si="30"/>
        <v>52112.90622293482</v>
      </c>
      <c r="AB72" s="40">
        <f t="shared" si="30"/>
        <v>52677.149938497998</v>
      </c>
    </row>
    <row r="73" spans="1:28" x14ac:dyDescent="0.25">
      <c r="A73" s="4" t="s">
        <v>334</v>
      </c>
      <c r="B73" s="40">
        <f t="shared" ref="B73:AB73" si="31">B64+B65</f>
        <v>30678.709167397337</v>
      </c>
      <c r="C73" s="40">
        <f t="shared" si="31"/>
        <v>31367.241987612346</v>
      </c>
      <c r="D73" s="40">
        <f t="shared" si="31"/>
        <v>32024.658032242049</v>
      </c>
      <c r="E73" s="40">
        <f t="shared" si="31"/>
        <v>32694.652244127694</v>
      </c>
      <c r="F73" s="40">
        <f t="shared" si="31"/>
        <v>33383.371250146258</v>
      </c>
      <c r="G73" s="40">
        <f t="shared" si="31"/>
        <v>34092.363619106101</v>
      </c>
      <c r="H73" s="40">
        <f t="shared" si="31"/>
        <v>34822.020395445637</v>
      </c>
      <c r="I73" s="40">
        <f t="shared" si="31"/>
        <v>35751.47550898519</v>
      </c>
      <c r="J73" s="40">
        <f t="shared" si="31"/>
        <v>36700.769331089818</v>
      </c>
      <c r="K73" s="40">
        <f t="shared" si="31"/>
        <v>37665.054124371432</v>
      </c>
      <c r="L73" s="40">
        <f t="shared" si="31"/>
        <v>38642.27096472391</v>
      </c>
      <c r="M73" s="40">
        <f t="shared" si="31"/>
        <v>39631.119781162895</v>
      </c>
      <c r="N73" s="40">
        <f t="shared" si="31"/>
        <v>40625.072559485438</v>
      </c>
      <c r="O73" s="40">
        <f t="shared" si="31"/>
        <v>41619.187123868192</v>
      </c>
      <c r="P73" s="40">
        <f t="shared" si="31"/>
        <v>42609.438260876253</v>
      </c>
      <c r="Q73" s="40">
        <f t="shared" si="31"/>
        <v>43588.982847434541</v>
      </c>
      <c r="R73" s="40">
        <f t="shared" si="31"/>
        <v>44552.196379472662</v>
      </c>
      <c r="S73" s="40">
        <f t="shared" si="31"/>
        <v>45509.823963198833</v>
      </c>
      <c r="T73" s="40">
        <f t="shared" si="31"/>
        <v>46442.880907674698</v>
      </c>
      <c r="U73" s="40">
        <f t="shared" si="31"/>
        <v>47349.398475987691</v>
      </c>
      <c r="V73" s="40">
        <f t="shared" si="31"/>
        <v>48216.91604792625</v>
      </c>
      <c r="W73" s="40">
        <f t="shared" si="31"/>
        <v>49040.485651580842</v>
      </c>
      <c r="X73" s="40">
        <f t="shared" si="31"/>
        <v>49818.197845222749</v>
      </c>
      <c r="Y73" s="40">
        <f t="shared" si="31"/>
        <v>50571.103583008546</v>
      </c>
      <c r="Z73" s="40">
        <f t="shared" si="31"/>
        <v>51277.418244886423</v>
      </c>
      <c r="AA73" s="40">
        <f t="shared" si="31"/>
        <v>51933.229870321527</v>
      </c>
      <c r="AB73" s="40">
        <f t="shared" si="31"/>
        <v>52539.656474128773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100.18830661770203</v>
      </c>
      <c r="C2" s="37">
        <f>BDbDT_calcs!C48</f>
        <v>99.996167123096939</v>
      </c>
      <c r="D2" s="37">
        <f>BDbDT_calcs!D48</f>
        <v>99.681959858075359</v>
      </c>
      <c r="E2" s="37">
        <f>BDbDT_calcs!E48</f>
        <v>99.368142076610212</v>
      </c>
      <c r="F2" s="37">
        <f>BDbDT_calcs!F48</f>
        <v>99.03399692240005</v>
      </c>
      <c r="G2" s="37">
        <f>BDbDT_calcs!G48</f>
        <v>98.679679691911574</v>
      </c>
      <c r="H2" s="37">
        <f>BDbDT_calcs!H48</f>
        <v>98.305853372835429</v>
      </c>
      <c r="I2" s="37">
        <f>BDbDT_calcs!I48</f>
        <v>98.468486149701207</v>
      </c>
      <c r="J2" s="37">
        <f>BDbDT_calcs!J48</f>
        <v>98.546091728034583</v>
      </c>
      <c r="K2" s="37">
        <f>BDbDT_calcs!K48</f>
        <v>98.623787408431852</v>
      </c>
      <c r="L2" s="37">
        <f>BDbDT_calcs!L48</f>
        <v>98.622674352136755</v>
      </c>
      <c r="M2" s="37">
        <f>BDbDT_calcs!M48</f>
        <v>98.621921564120981</v>
      </c>
      <c r="N2" s="37">
        <f>BDbDT_calcs!N48</f>
        <v>98.633942187189902</v>
      </c>
      <c r="O2" s="37">
        <f>BDbDT_calcs!O48</f>
        <v>98.495241810103082</v>
      </c>
      <c r="P2" s="37">
        <f>BDbDT_calcs!P48</f>
        <v>98.379986684610301</v>
      </c>
      <c r="Q2" s="37">
        <f>BDbDT_calcs!Q48</f>
        <v>98.181306802295197</v>
      </c>
      <c r="R2" s="37">
        <f>BDbDT_calcs!R48</f>
        <v>97.957499003421901</v>
      </c>
      <c r="S2" s="37">
        <f>BDbDT_calcs!S48</f>
        <v>97.716596476416029</v>
      </c>
      <c r="T2" s="37">
        <f>BDbDT_calcs!T48</f>
        <v>97.460033274179423</v>
      </c>
      <c r="U2" s="37">
        <f>BDbDT_calcs!U48</f>
        <v>97.187057987803456</v>
      </c>
      <c r="V2" s="37">
        <f>BDbDT_calcs!V48</f>
        <v>96.896578237538193</v>
      </c>
      <c r="W2" s="37">
        <f>BDbDT_calcs!W48</f>
        <v>96.600090839454538</v>
      </c>
      <c r="X2" s="37">
        <f>BDbDT_calcs!X48</f>
        <v>96.386921053852362</v>
      </c>
      <c r="Y2" s="37">
        <f>BDbDT_calcs!Y48</f>
        <v>96.155239052198539</v>
      </c>
      <c r="Z2" s="37">
        <f>BDbDT_calcs!Z48</f>
        <v>95.969604584623667</v>
      </c>
      <c r="AA2" s="37">
        <f>BDbDT_calcs!AA48</f>
        <v>95.777613765000424</v>
      </c>
      <c r="AB2" s="37">
        <f>BDbDT_calcs!AB48</f>
        <v>95.565023845038766</v>
      </c>
    </row>
    <row r="3" spans="1:28" x14ac:dyDescent="0.25">
      <c r="A3" s="4" t="s">
        <v>216</v>
      </c>
      <c r="B3" s="37">
        <f>BDbDT_calcs!B49</f>
        <v>76.385439036657473</v>
      </c>
      <c r="C3" s="37">
        <f>BDbDT_calcs!C49</f>
        <v>76.398777644723154</v>
      </c>
      <c r="D3" s="37">
        <f>BDbDT_calcs!D49</f>
        <v>76.328720783896955</v>
      </c>
      <c r="E3" s="37">
        <f>BDbDT_calcs!E49</f>
        <v>76.250212776235983</v>
      </c>
      <c r="F3" s="37">
        <f>BDbDT_calcs!F49</f>
        <v>76.153532375986273</v>
      </c>
      <c r="G3" s="37">
        <f>BDbDT_calcs!G49</f>
        <v>76.059645806616146</v>
      </c>
      <c r="H3" s="37">
        <f>BDbDT_calcs!H49</f>
        <v>75.958876107263734</v>
      </c>
      <c r="I3" s="37">
        <f>BDbDT_calcs!I49</f>
        <v>76.196840285678675</v>
      </c>
      <c r="J3" s="37">
        <f>BDbDT_calcs!J49</f>
        <v>76.463951313673789</v>
      </c>
      <c r="K3" s="37">
        <f>BDbDT_calcs!K49</f>
        <v>76.661750021715292</v>
      </c>
      <c r="L3" s="37">
        <f>BDbDT_calcs!L49</f>
        <v>76.876108655679118</v>
      </c>
      <c r="M3" s="37">
        <f>BDbDT_calcs!M49</f>
        <v>77.019990298795008</v>
      </c>
      <c r="N3" s="37">
        <f>BDbDT_calcs!N49</f>
        <v>77.102926703104202</v>
      </c>
      <c r="O3" s="37">
        <f>BDbDT_calcs!O49</f>
        <v>77.236033692976193</v>
      </c>
      <c r="P3" s="37">
        <f>BDbDT_calcs!P49</f>
        <v>77.250914823808344</v>
      </c>
      <c r="Q3" s="37">
        <f>BDbDT_calcs!Q49</f>
        <v>77.281869990359283</v>
      </c>
      <c r="R3" s="37">
        <f>BDbDT_calcs!R49</f>
        <v>77.248445072227597</v>
      </c>
      <c r="S3" s="37">
        <f>BDbDT_calcs!S49</f>
        <v>77.233445637213876</v>
      </c>
      <c r="T3" s="37">
        <f>BDbDT_calcs!T49</f>
        <v>77.186085332131299</v>
      </c>
      <c r="U3" s="37">
        <f>BDbDT_calcs!U49</f>
        <v>77.128988453651331</v>
      </c>
      <c r="V3" s="37">
        <f>BDbDT_calcs!V49</f>
        <v>77.085485486224812</v>
      </c>
      <c r="W3" s="37">
        <f>BDbDT_calcs!W49</f>
        <v>77.043168336176151</v>
      </c>
      <c r="X3" s="37">
        <f>BDbDT_calcs!X49</f>
        <v>76.976765879316247</v>
      </c>
      <c r="Y3" s="37">
        <f>BDbDT_calcs!Y49</f>
        <v>76.94754524385786</v>
      </c>
      <c r="Z3" s="37">
        <f>BDbDT_calcs!Z49</f>
        <v>76.893173092316147</v>
      </c>
      <c r="AA3" s="37">
        <f>BDbDT_calcs!AA49</f>
        <v>76.863123388473113</v>
      </c>
      <c r="AB3" s="37">
        <f>BDbDT_calcs!AB49</f>
        <v>76.896097925206789</v>
      </c>
    </row>
    <row r="4" spans="1:28" x14ac:dyDescent="0.25">
      <c r="A4" s="4" t="s">
        <v>217</v>
      </c>
      <c r="B4" s="37">
        <f>BDbDT_calcs!B50</f>
        <v>121.8482556438785</v>
      </c>
      <c r="C4" s="37">
        <f>BDbDT_calcs!C50</f>
        <v>121.7310790319621</v>
      </c>
      <c r="D4" s="37">
        <f>BDbDT_calcs!D50</f>
        <v>121.49208520438711</v>
      </c>
      <c r="E4" s="37">
        <f>BDbDT_calcs!E50</f>
        <v>121.22981051069078</v>
      </c>
      <c r="F4" s="37">
        <f>BDbDT_calcs!F50</f>
        <v>120.95775515321273</v>
      </c>
      <c r="G4" s="37">
        <f>BDbDT_calcs!G50</f>
        <v>120.68900708151871</v>
      </c>
      <c r="H4" s="37">
        <f>BDbDT_calcs!H50</f>
        <v>120.37389884653899</v>
      </c>
      <c r="I4" s="37">
        <f>BDbDT_calcs!I50</f>
        <v>120.69000059180864</v>
      </c>
      <c r="J4" s="37">
        <f>BDbDT_calcs!J50</f>
        <v>120.93528892322513</v>
      </c>
      <c r="K4" s="37">
        <f>BDbDT_calcs!K50</f>
        <v>121.11740093857817</v>
      </c>
      <c r="L4" s="37">
        <f>BDbDT_calcs!L50</f>
        <v>121.22232122882814</v>
      </c>
      <c r="M4" s="37">
        <f>BDbDT_calcs!M50</f>
        <v>121.24875788034642</v>
      </c>
      <c r="N4" s="37">
        <f>BDbDT_calcs!N50</f>
        <v>121.19524872351474</v>
      </c>
      <c r="O4" s="37">
        <f>BDbDT_calcs!O50</f>
        <v>121.01932183203483</v>
      </c>
      <c r="P4" s="37">
        <f>BDbDT_calcs!P50</f>
        <v>120.77316154907723</v>
      </c>
      <c r="Q4" s="37">
        <f>BDbDT_calcs!Q50</f>
        <v>120.44119203104115</v>
      </c>
      <c r="R4" s="37">
        <f>BDbDT_calcs!R50</f>
        <v>120.02114085843667</v>
      </c>
      <c r="S4" s="37">
        <f>BDbDT_calcs!S50</f>
        <v>119.57950104977398</v>
      </c>
      <c r="T4" s="37">
        <f>BDbDT_calcs!T50</f>
        <v>119.1156227248205</v>
      </c>
      <c r="U4" s="37">
        <f>BDbDT_calcs!U50</f>
        <v>118.62853977112687</v>
      </c>
      <c r="V4" s="37">
        <f>BDbDT_calcs!V50</f>
        <v>118.13153465424399</v>
      </c>
      <c r="W4" s="37">
        <f>BDbDT_calcs!W50</f>
        <v>117.65310982955268</v>
      </c>
      <c r="X4" s="37">
        <f>BDbDT_calcs!X50</f>
        <v>117.2079825114231</v>
      </c>
      <c r="Y4" s="37">
        <f>BDbDT_calcs!Y50</f>
        <v>116.76673061323645</v>
      </c>
      <c r="Z4" s="37">
        <f>BDbDT_calcs!Z50</f>
        <v>116.34403492553663</v>
      </c>
      <c r="AA4" s="37">
        <f>BDbDT_calcs!AA50</f>
        <v>115.97062013354781</v>
      </c>
      <c r="AB4" s="37">
        <f>BDbDT_calcs!AB50</f>
        <v>115.6161511097046</v>
      </c>
    </row>
    <row r="5" spans="1:28" x14ac:dyDescent="0.25">
      <c r="A5" s="4" t="s">
        <v>218</v>
      </c>
      <c r="B5" s="37">
        <f>BDbDT_calcs!B51</f>
        <v>6.1894309470073665</v>
      </c>
      <c r="C5" s="37">
        <f>BDbDT_calcs!C51</f>
        <v>6.1406935508754703</v>
      </c>
      <c r="D5" s="37">
        <f>BDbDT_calcs!D51</f>
        <v>6.0860768934515006</v>
      </c>
      <c r="E5" s="37">
        <f>BDbDT_calcs!E51</f>
        <v>6.0284693096900961</v>
      </c>
      <c r="F5" s="37">
        <f>BDbDT_calcs!F51</f>
        <v>5.967884650936611</v>
      </c>
      <c r="G5" s="37">
        <f>BDbDT_calcs!G51</f>
        <v>5.9070133098646238</v>
      </c>
      <c r="H5" s="37">
        <f>BDbDT_calcs!H51</f>
        <v>5.8418149585972268</v>
      </c>
      <c r="I5" s="37">
        <f>BDbDT_calcs!I51</f>
        <v>5.8072518574393115</v>
      </c>
      <c r="J5" s="37">
        <f>BDbDT_calcs!J51</f>
        <v>5.7713948887337354</v>
      </c>
      <c r="K5" s="37">
        <f>BDbDT_calcs!K51</f>
        <v>5.7340623109064186</v>
      </c>
      <c r="L5" s="37">
        <f>BDbDT_calcs!L51</f>
        <v>5.6981179695998527</v>
      </c>
      <c r="M5" s="37">
        <f>BDbDT_calcs!M51</f>
        <v>5.6651010089135312</v>
      </c>
      <c r="N5" s="37">
        <f>BDbDT_calcs!N51</f>
        <v>5.630814992060893</v>
      </c>
      <c r="O5" s="37">
        <f>BDbDT_calcs!O51</f>
        <v>5.5996576682440393</v>
      </c>
      <c r="P5" s="37">
        <f>BDbDT_calcs!P51</f>
        <v>5.5673380819683151</v>
      </c>
      <c r="Q5" s="37">
        <f>BDbDT_calcs!Q51</f>
        <v>5.5368309736277261</v>
      </c>
      <c r="R5" s="37">
        <f>BDbDT_calcs!R51</f>
        <v>5.5067056949062456</v>
      </c>
      <c r="S5" s="37">
        <f>BDbDT_calcs!S51</f>
        <v>5.4773229839523303</v>
      </c>
      <c r="T5" s="37">
        <f>BDbDT_calcs!T51</f>
        <v>5.4482673410695011</v>
      </c>
      <c r="U5" s="37">
        <f>BDbDT_calcs!U51</f>
        <v>5.4179862887037551</v>
      </c>
      <c r="V5" s="37">
        <f>BDbDT_calcs!V51</f>
        <v>5.3895533496170343</v>
      </c>
      <c r="W5" s="37">
        <f>BDbDT_calcs!W51</f>
        <v>5.3582345720719298</v>
      </c>
      <c r="X5" s="37">
        <f>BDbDT_calcs!X51</f>
        <v>5.3287115697398102</v>
      </c>
      <c r="Y5" s="37">
        <f>BDbDT_calcs!Y51</f>
        <v>5.3026531229271026</v>
      </c>
      <c r="Z5" s="37">
        <f>BDbDT_calcs!Z51</f>
        <v>5.2752318420187594</v>
      </c>
      <c r="AA5" s="37">
        <f>BDbDT_calcs!AA51</f>
        <v>5.2496807038214941</v>
      </c>
      <c r="AB5" s="37">
        <f>BDbDT_calcs!AB51</f>
        <v>5.2226938446153515</v>
      </c>
    </row>
    <row r="6" spans="1:28" x14ac:dyDescent="0.25">
      <c r="A6" s="4" t="s">
        <v>219</v>
      </c>
      <c r="B6" s="37">
        <f>BDbDT_calcs!B52</f>
        <v>4.3582557821814509</v>
      </c>
      <c r="C6" s="37">
        <f>BDbDT_calcs!C52</f>
        <v>4.3982359163964437</v>
      </c>
      <c r="D6" s="37">
        <f>BDbDT_calcs!D52</f>
        <v>4.4338188071892644</v>
      </c>
      <c r="E6" s="37">
        <f>BDbDT_calcs!E52</f>
        <v>4.4750167260580387</v>
      </c>
      <c r="F6" s="37">
        <f>BDbDT_calcs!F52</f>
        <v>4.5167972148711275</v>
      </c>
      <c r="G6" s="37">
        <f>BDbDT_calcs!G52</f>
        <v>4.5591966362744589</v>
      </c>
      <c r="H6" s="37">
        <f>BDbDT_calcs!H52</f>
        <v>4.6022772972773804</v>
      </c>
      <c r="I6" s="37">
        <f>BDbDT_calcs!I52</f>
        <v>4.6698280492051323</v>
      </c>
      <c r="J6" s="37">
        <f>BDbDT_calcs!J52</f>
        <v>4.7382744106204235</v>
      </c>
      <c r="K6" s="37">
        <f>BDbDT_calcs!K52</f>
        <v>4.8182372033266461</v>
      </c>
      <c r="L6" s="37">
        <f>BDbDT_calcs!L52</f>
        <v>4.888384449155363</v>
      </c>
      <c r="M6" s="37">
        <f>BDbDT_calcs!M52</f>
        <v>4.9593962363707389</v>
      </c>
      <c r="N6" s="37">
        <f>BDbDT_calcs!N52</f>
        <v>5.0313133830227015</v>
      </c>
      <c r="O6" s="37">
        <f>BDbDT_calcs!O52</f>
        <v>5.1041780269864825</v>
      </c>
      <c r="P6" s="37">
        <f>BDbDT_calcs!P52</f>
        <v>5.1723802368841652</v>
      </c>
      <c r="Q6" s="37">
        <f>BDbDT_calcs!Q52</f>
        <v>5.2471835050609226</v>
      </c>
      <c r="R6" s="37">
        <f>BDbDT_calcs!R52</f>
        <v>5.3114963331817888</v>
      </c>
      <c r="S6" s="37">
        <f>BDbDT_calcs!S52</f>
        <v>5.3842676688381008</v>
      </c>
      <c r="T6" s="37">
        <f>BDbDT_calcs!T52</f>
        <v>5.4638588257366179</v>
      </c>
      <c r="U6" s="37">
        <f>BDbDT_calcs!U52</f>
        <v>5.5326113752984689</v>
      </c>
      <c r="V6" s="37">
        <f>BDbDT_calcs!V52</f>
        <v>5.6081344851520418</v>
      </c>
      <c r="W6" s="37">
        <f>BDbDT_calcs!W52</f>
        <v>5.6844988148206728</v>
      </c>
      <c r="X6" s="37">
        <f>BDbDT_calcs!X52</f>
        <v>5.7555206962731118</v>
      </c>
      <c r="Y6" s="37">
        <f>BDbDT_calcs!Y52</f>
        <v>5.8395593534715582</v>
      </c>
      <c r="Z6" s="37">
        <f>BDbDT_calcs!Z52</f>
        <v>5.9119132909648409</v>
      </c>
      <c r="AA6" s="37">
        <f>BDbDT_calcs!AA52</f>
        <v>5.9847778537151655</v>
      </c>
      <c r="AB6" s="37">
        <f>BDbDT_calcs!AB52</f>
        <v>6.0580869454118602</v>
      </c>
    </row>
    <row r="7" spans="1:28" x14ac:dyDescent="0.25">
      <c r="A7" s="4" t="s">
        <v>220</v>
      </c>
      <c r="B7" s="37">
        <f>BDbDT_calcs!B53</f>
        <v>19.703880209301492</v>
      </c>
      <c r="C7" s="37">
        <f>BDbDT_calcs!C53</f>
        <v>19.985287137123173</v>
      </c>
      <c r="D7" s="37">
        <f>BDbDT_calcs!D53</f>
        <v>20.208398895221968</v>
      </c>
      <c r="E7" s="37">
        <f>BDbDT_calcs!E53</f>
        <v>20.460601032747014</v>
      </c>
      <c r="F7" s="37">
        <f>BDbDT_calcs!F53</f>
        <v>20.702829816686819</v>
      </c>
      <c r="G7" s="37">
        <f>BDbDT_calcs!G53</f>
        <v>20.921778240535815</v>
      </c>
      <c r="H7" s="37">
        <f>BDbDT_calcs!H53</f>
        <v>21.197550819165812</v>
      </c>
      <c r="I7" s="37">
        <f>BDbDT_calcs!I53</f>
        <v>21.533190393218508</v>
      </c>
      <c r="J7" s="37">
        <f>BDbDT_calcs!J53</f>
        <v>21.887087028648111</v>
      </c>
      <c r="K7" s="37">
        <f>BDbDT_calcs!K53</f>
        <v>22.20399876316154</v>
      </c>
      <c r="L7" s="37">
        <f>BDbDT_calcs!L53</f>
        <v>22.538551464070899</v>
      </c>
      <c r="M7" s="37">
        <f>BDbDT_calcs!M53</f>
        <v>22.835157827281655</v>
      </c>
      <c r="N7" s="37">
        <f>BDbDT_calcs!N53</f>
        <v>23.163707031810066</v>
      </c>
      <c r="O7" s="37">
        <f>BDbDT_calcs!O53</f>
        <v>23.467895132096594</v>
      </c>
      <c r="P7" s="37">
        <f>BDbDT_calcs!P53</f>
        <v>23.747026748242703</v>
      </c>
      <c r="Q7" s="37">
        <f>BDbDT_calcs!Q53</f>
        <v>24.000341966934606</v>
      </c>
      <c r="R7" s="37">
        <f>BDbDT_calcs!R53</f>
        <v>24.256578470727536</v>
      </c>
      <c r="S7" s="37">
        <f>BDbDT_calcs!S53</f>
        <v>24.509163293725805</v>
      </c>
      <c r="T7" s="37">
        <f>BDbDT_calcs!T53</f>
        <v>24.704045379477165</v>
      </c>
      <c r="U7" s="37">
        <f>BDbDT_calcs!U53</f>
        <v>24.930684751426849</v>
      </c>
      <c r="V7" s="37">
        <f>BDbDT_calcs!V53</f>
        <v>25.128242884648273</v>
      </c>
      <c r="W7" s="37">
        <f>BDbDT_calcs!W53</f>
        <v>25.326630442607804</v>
      </c>
      <c r="X7" s="37">
        <f>BDbDT_calcs!X53</f>
        <v>25.55700702430299</v>
      </c>
      <c r="Y7" s="37">
        <f>BDbDT_calcs!Y53</f>
        <v>25.740787093716477</v>
      </c>
      <c r="Z7" s="37">
        <f>BDbDT_calcs!Z53</f>
        <v>25.972485911024894</v>
      </c>
      <c r="AA7" s="37">
        <f>BDbDT_calcs!AA53</f>
        <v>26.156040999329583</v>
      </c>
      <c r="AB7" s="37">
        <f>BDbDT_calcs!AB53</f>
        <v>26.387895191332451</v>
      </c>
    </row>
    <row r="8" spans="1:28" x14ac:dyDescent="0.25">
      <c r="A8" s="4" t="s">
        <v>221</v>
      </c>
      <c r="B8" s="37">
        <f>BDbDT_calcs!B54</f>
        <v>34.648396703630667</v>
      </c>
      <c r="C8" s="37">
        <f>BDbDT_calcs!C54</f>
        <v>34.98997962079401</v>
      </c>
      <c r="D8" s="37">
        <f>BDbDT_calcs!D54</f>
        <v>35.315049801172364</v>
      </c>
      <c r="E8" s="37">
        <f>BDbDT_calcs!E54</f>
        <v>35.653463698094477</v>
      </c>
      <c r="F8" s="37">
        <f>BDbDT_calcs!F54</f>
        <v>36.024212481036052</v>
      </c>
      <c r="G8" s="37">
        <f>BDbDT_calcs!G54</f>
        <v>36.363282213016433</v>
      </c>
      <c r="H8" s="37">
        <f>BDbDT_calcs!H54</f>
        <v>36.698505697067233</v>
      </c>
      <c r="I8" s="37">
        <f>BDbDT_calcs!I54</f>
        <v>37.219346415145075</v>
      </c>
      <c r="J8" s="37">
        <f>BDbDT_calcs!J54</f>
        <v>37.728014876681151</v>
      </c>
      <c r="K8" s="37">
        <f>BDbDT_calcs!K54</f>
        <v>38.222960024927907</v>
      </c>
      <c r="L8" s="37">
        <f>BDbDT_calcs!L54</f>
        <v>38.694293332179512</v>
      </c>
      <c r="M8" s="37">
        <f>BDbDT_calcs!M54</f>
        <v>39.141477406038078</v>
      </c>
      <c r="N8" s="37">
        <f>BDbDT_calcs!N54</f>
        <v>39.563929568020441</v>
      </c>
      <c r="O8" s="37">
        <f>BDbDT_calcs!O54</f>
        <v>39.961057308869393</v>
      </c>
      <c r="P8" s="37">
        <f>BDbDT_calcs!P54</f>
        <v>40.302015233152638</v>
      </c>
      <c r="Q8" s="37">
        <f>BDbDT_calcs!Q54</f>
        <v>40.615628430669489</v>
      </c>
      <c r="R8" s="37">
        <f>BDbDT_calcs!R54</f>
        <v>40.870261358647511</v>
      </c>
      <c r="S8" s="37">
        <f>BDbDT_calcs!S54</f>
        <v>41.140246682946596</v>
      </c>
      <c r="T8" s="37">
        <f>BDbDT_calcs!T54</f>
        <v>41.369488804534932</v>
      </c>
      <c r="U8" s="37">
        <f>BDbDT_calcs!U54</f>
        <v>41.556480146806734</v>
      </c>
      <c r="V8" s="37">
        <f>BDbDT_calcs!V54</f>
        <v>41.742337594244326</v>
      </c>
      <c r="W8" s="37">
        <f>BDbDT_calcs!W54</f>
        <v>41.872545080216028</v>
      </c>
      <c r="X8" s="37">
        <f>BDbDT_calcs!X54</f>
        <v>42.054166480028869</v>
      </c>
      <c r="Y8" s="37">
        <f>BDbDT_calcs!Y54</f>
        <v>42.222371474230101</v>
      </c>
      <c r="Z8" s="37">
        <f>BDbDT_calcs!Z54</f>
        <v>42.387483347288217</v>
      </c>
      <c r="AA8" s="37">
        <f>BDbDT_calcs!AA54</f>
        <v>42.560254866379132</v>
      </c>
      <c r="AB8" s="37">
        <f>BDbDT_calcs!AB54</f>
        <v>42.751891847077154</v>
      </c>
    </row>
    <row r="9" spans="1:28" x14ac:dyDescent="0.25">
      <c r="A9" s="4" t="s">
        <v>222</v>
      </c>
      <c r="B9" s="37">
        <f>BDbDT_calcs!B55</f>
        <v>140.51408312189639</v>
      </c>
      <c r="C9" s="37">
        <f>BDbDT_calcs!C55</f>
        <v>139.92721507935659</v>
      </c>
      <c r="D9" s="37">
        <f>BDbDT_calcs!D55</f>
        <v>139.14873546321215</v>
      </c>
      <c r="E9" s="37">
        <f>BDbDT_calcs!E55</f>
        <v>138.3458278348175</v>
      </c>
      <c r="F9" s="37">
        <f>BDbDT_calcs!F55</f>
        <v>137.46468655050106</v>
      </c>
      <c r="G9" s="37">
        <f>BDbDT_calcs!G55</f>
        <v>136.60387396750886</v>
      </c>
      <c r="H9" s="37">
        <f>BDbDT_calcs!H55</f>
        <v>135.72068104949531</v>
      </c>
      <c r="I9" s="37">
        <f>BDbDT_calcs!I55</f>
        <v>135.51556634937225</v>
      </c>
      <c r="J9" s="37">
        <f>BDbDT_calcs!J55</f>
        <v>135.26988860762111</v>
      </c>
      <c r="K9" s="37">
        <f>BDbDT_calcs!K55</f>
        <v>134.96747038381451</v>
      </c>
      <c r="L9" s="37">
        <f>BDbDT_calcs!L55</f>
        <v>134.63110694924202</v>
      </c>
      <c r="M9" s="37">
        <f>BDbDT_calcs!M55</f>
        <v>134.2494679555148</v>
      </c>
      <c r="N9" s="37">
        <f>BDbDT_calcs!N55</f>
        <v>133.84584328468631</v>
      </c>
      <c r="O9" s="37">
        <f>BDbDT_calcs!O55</f>
        <v>133.37320154685605</v>
      </c>
      <c r="P9" s="37">
        <f>BDbDT_calcs!P55</f>
        <v>132.86632580869673</v>
      </c>
      <c r="Q9" s="37">
        <f>BDbDT_calcs!Q55</f>
        <v>132.32477922832379</v>
      </c>
      <c r="R9" s="37">
        <f>BDbDT_calcs!R55</f>
        <v>131.76016177187128</v>
      </c>
      <c r="S9" s="37">
        <f>BDbDT_calcs!S55</f>
        <v>131.17944892876531</v>
      </c>
      <c r="T9" s="37">
        <f>BDbDT_calcs!T55</f>
        <v>130.59730134215033</v>
      </c>
      <c r="U9" s="37">
        <f>BDbDT_calcs!U55</f>
        <v>130.0386440020979</v>
      </c>
      <c r="V9" s="37">
        <f>BDbDT_calcs!V55</f>
        <v>129.47801875325067</v>
      </c>
      <c r="W9" s="37">
        <f>BDbDT_calcs!W55</f>
        <v>128.97888411738285</v>
      </c>
      <c r="X9" s="37">
        <f>BDbDT_calcs!X55</f>
        <v>128.47717660653157</v>
      </c>
      <c r="Y9" s="37">
        <f>BDbDT_calcs!Y55</f>
        <v>128.01202249384377</v>
      </c>
      <c r="Z9" s="37">
        <f>BDbDT_calcs!Z55</f>
        <v>127.57048548217215</v>
      </c>
      <c r="AA9" s="37">
        <f>BDbDT_calcs!AA55</f>
        <v>127.13908571297773</v>
      </c>
      <c r="AB9" s="37">
        <f>BDbDT_calcs!AB55</f>
        <v>126.73095575471235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15887.240157395412</v>
      </c>
      <c r="C2" s="37">
        <f>BDbDT_calcs!C58</f>
        <v>16268.337886836767</v>
      </c>
      <c r="D2" s="37">
        <f>BDbDT_calcs!D58</f>
        <v>16633.152524747144</v>
      </c>
      <c r="E2" s="37">
        <f>BDbDT_calcs!E58</f>
        <v>17000.715622984659</v>
      </c>
      <c r="F2" s="37">
        <f>BDbDT_calcs!F58</f>
        <v>17372.486851490732</v>
      </c>
      <c r="G2" s="37">
        <f>BDbDT_calcs!G58</f>
        <v>17749.001061295887</v>
      </c>
      <c r="H2" s="37">
        <f>BDbDT_calcs!H58</f>
        <v>18129.066057220844</v>
      </c>
      <c r="I2" s="37">
        <f>BDbDT_calcs!I58</f>
        <v>18606.125921428382</v>
      </c>
      <c r="J2" s="37">
        <f>BDbDT_calcs!J58</f>
        <v>19085.372708970175</v>
      </c>
      <c r="K2" s="37">
        <f>BDbDT_calcs!K58</f>
        <v>19566.360674899013</v>
      </c>
      <c r="L2" s="37">
        <f>BDbDT_calcs!L58</f>
        <v>20047.297911816284</v>
      </c>
      <c r="M2" s="37">
        <f>BDbDT_calcs!M58</f>
        <v>20527.674097699284</v>
      </c>
      <c r="N2" s="37">
        <f>BDbDT_calcs!N58</f>
        <v>21005.188165639916</v>
      </c>
      <c r="O2" s="37">
        <f>BDbDT_calcs!O58</f>
        <v>21478.794006889886</v>
      </c>
      <c r="P2" s="37">
        <f>BDbDT_calcs!P58</f>
        <v>21945.435040384433</v>
      </c>
      <c r="Q2" s="37">
        <f>BDbDT_calcs!Q58</f>
        <v>22404.302477014251</v>
      </c>
      <c r="R2" s="37">
        <f>BDbDT_calcs!R58</f>
        <v>22851.588370486083</v>
      </c>
      <c r="S2" s="37">
        <f>BDbDT_calcs!S58</f>
        <v>23294.916763361096</v>
      </c>
      <c r="T2" s="37">
        <f>BDbDT_calcs!T58</f>
        <v>23724.770488586961</v>
      </c>
      <c r="U2" s="37">
        <f>BDbDT_calcs!U58</f>
        <v>24141.84762661151</v>
      </c>
      <c r="V2" s="37">
        <f>BDbDT_calcs!V58</f>
        <v>24539.724578953959</v>
      </c>
      <c r="W2" s="37">
        <f>BDbDT_calcs!W58</f>
        <v>24919.097742942347</v>
      </c>
      <c r="X2" s="37">
        <f>BDbDT_calcs!X58</f>
        <v>25277.853557259681</v>
      </c>
      <c r="Y2" s="37">
        <f>BDbDT_calcs!Y58</f>
        <v>25625.755411603248</v>
      </c>
      <c r="Z2" s="37">
        <f>BDbDT_calcs!Z58</f>
        <v>25952.896753713809</v>
      </c>
      <c r="AA2" s="37">
        <f>BDbDT_calcs!AA58</f>
        <v>26260.132290965412</v>
      </c>
      <c r="AB2" s="37">
        <f>BDbDT_calcs!AB58</f>
        <v>26549.153152265382</v>
      </c>
    </row>
    <row r="3" spans="1:28" x14ac:dyDescent="0.25">
      <c r="A3" s="4" t="s">
        <v>216</v>
      </c>
      <c r="B3" s="37">
        <f>BDbDT_calcs!B59</f>
        <v>14274.610354345339</v>
      </c>
      <c r="C3" s="37">
        <f>BDbDT_calcs!C59</f>
        <v>14579.165532204457</v>
      </c>
      <c r="D3" s="37">
        <f>BDbDT_calcs!D59</f>
        <v>14869.805629404016</v>
      </c>
      <c r="E3" s="37">
        <f>BDbDT_calcs!E59</f>
        <v>15170.248464018081</v>
      </c>
      <c r="F3" s="37">
        <f>BDbDT_calcs!F59</f>
        <v>15484.932212368452</v>
      </c>
      <c r="G3" s="37">
        <f>BDbDT_calcs!G59</f>
        <v>15814.878130809961</v>
      </c>
      <c r="H3" s="37">
        <f>BDbDT_calcs!H59</f>
        <v>16161.768077872037</v>
      </c>
      <c r="I3" s="37">
        <f>BDbDT_calcs!I59</f>
        <v>16608.666673435298</v>
      </c>
      <c r="J3" s="37">
        <f>BDbDT_calcs!J59</f>
        <v>17073.084934495582</v>
      </c>
      <c r="K3" s="37">
        <f>BDbDT_calcs!K59</f>
        <v>17551.003917575432</v>
      </c>
      <c r="L3" s="37">
        <f>BDbDT_calcs!L59</f>
        <v>18042.307721026838</v>
      </c>
      <c r="M3" s="37">
        <f>BDbDT_calcs!M59</f>
        <v>18546.124935412732</v>
      </c>
      <c r="N3" s="37">
        <f>BDbDT_calcs!N59</f>
        <v>19058.659165805799</v>
      </c>
      <c r="O3" s="37">
        <f>BDbDT_calcs!O59</f>
        <v>19576.141668743145</v>
      </c>
      <c r="P3" s="37">
        <f>BDbDT_calcs!P59</f>
        <v>20097.672037893251</v>
      </c>
      <c r="Q3" s="37">
        <f>BDbDT_calcs!Q59</f>
        <v>20617.594022199457</v>
      </c>
      <c r="R3" s="37">
        <f>BDbDT_calcs!R59</f>
        <v>21134.087903472962</v>
      </c>
      <c r="S3" s="37">
        <f>BDbDT_calcs!S59</f>
        <v>21650.332789869441</v>
      </c>
      <c r="T3" s="37">
        <f>BDbDT_calcs!T59</f>
        <v>22157.184789199127</v>
      </c>
      <c r="U3" s="37">
        <f>BDbDT_calcs!U59</f>
        <v>22652.069264661761</v>
      </c>
      <c r="V3" s="37">
        <f>BDbDT_calcs!V59</f>
        <v>23129.219784918809</v>
      </c>
      <c r="W3" s="37">
        <f>BDbDT_calcs!W59</f>
        <v>23583.163928249982</v>
      </c>
      <c r="X3" s="37">
        <f>BDbDT_calcs!X59</f>
        <v>24014.236421081758</v>
      </c>
      <c r="Y3" s="37">
        <f>BDbDT_calcs!Y59</f>
        <v>24432.84433332779</v>
      </c>
      <c r="Z3" s="37">
        <f>BDbDT_calcs!Z59</f>
        <v>24827.814233190875</v>
      </c>
      <c r="AA3" s="37">
        <f>BDbDT_calcs!AA59</f>
        <v>25194.379625126316</v>
      </c>
      <c r="AB3" s="37">
        <f>BDbDT_calcs!AB59</f>
        <v>25531.943619450092</v>
      </c>
    </row>
    <row r="4" spans="1:28" x14ac:dyDescent="0.25">
      <c r="A4" s="4" t="s">
        <v>217</v>
      </c>
      <c r="B4" s="37">
        <f>BDbDT_calcs!B60</f>
        <v>28975.188879074241</v>
      </c>
      <c r="C4" s="37">
        <f>BDbDT_calcs!C60</f>
        <v>29627.017662214887</v>
      </c>
      <c r="D4" s="37">
        <f>BDbDT_calcs!D60</f>
        <v>30247.345862151673</v>
      </c>
      <c r="E4" s="37">
        <f>BDbDT_calcs!E60</f>
        <v>30876.930383928651</v>
      </c>
      <c r="F4" s="37">
        <f>BDbDT_calcs!F60</f>
        <v>31522.213680828921</v>
      </c>
      <c r="G4" s="37">
        <f>BDbDT_calcs!G60</f>
        <v>32183.524131020375</v>
      </c>
      <c r="H4" s="37">
        <f>BDbDT_calcs!H60</f>
        <v>32862.252565966199</v>
      </c>
      <c r="I4" s="37">
        <f>BDbDT_calcs!I60</f>
        <v>33726.722961503154</v>
      </c>
      <c r="J4" s="37">
        <f>BDbDT_calcs!J60</f>
        <v>34607.334693835008</v>
      </c>
      <c r="K4" s="37">
        <f>BDbDT_calcs!K60</f>
        <v>35498.114623646121</v>
      </c>
      <c r="L4" s="37">
        <f>BDbDT_calcs!L60</f>
        <v>36397.180801560738</v>
      </c>
      <c r="M4" s="37">
        <f>BDbDT_calcs!M60</f>
        <v>37303.068216991254</v>
      </c>
      <c r="N4" s="37">
        <f>BDbDT_calcs!N60</f>
        <v>38208.859924849719</v>
      </c>
      <c r="O4" s="37">
        <f>BDbDT_calcs!O60</f>
        <v>39110.427865168946</v>
      </c>
      <c r="P4" s="37">
        <f>BDbDT_calcs!P60</f>
        <v>40002.266228620836</v>
      </c>
      <c r="Q4" s="37">
        <f>BDbDT_calcs!Q60</f>
        <v>40878.364507505008</v>
      </c>
      <c r="R4" s="37">
        <f>BDbDT_calcs!R60</f>
        <v>41732.695498450543</v>
      </c>
      <c r="S4" s="37">
        <f>BDbDT_calcs!S60</f>
        <v>42575.149230947391</v>
      </c>
      <c r="T4" s="37">
        <f>BDbDT_calcs!T60</f>
        <v>43387.973289979142</v>
      </c>
      <c r="U4" s="37">
        <f>BDbDT_calcs!U60</f>
        <v>44169.809486676837</v>
      </c>
      <c r="V4" s="37">
        <f>BDbDT_calcs!V60</f>
        <v>44907.445581145075</v>
      </c>
      <c r="W4" s="37">
        <f>BDbDT_calcs!W60</f>
        <v>45595.735345053479</v>
      </c>
      <c r="X4" s="37">
        <f>BDbDT_calcs!X60</f>
        <v>46233.797021271377</v>
      </c>
      <c r="Y4" s="37">
        <f>BDbDT_calcs!Y60</f>
        <v>46843.645920400006</v>
      </c>
      <c r="Z4" s="37">
        <f>BDbDT_calcs!Z60</f>
        <v>47402.999111298792</v>
      </c>
      <c r="AA4" s="37">
        <f>BDbDT_calcs!AA60</f>
        <v>47907.115959743052</v>
      </c>
      <c r="AB4" s="37">
        <f>BDbDT_calcs!AB60</f>
        <v>48358.243923939444</v>
      </c>
    </row>
    <row r="5" spans="1:28" x14ac:dyDescent="0.25">
      <c r="A5" s="4" t="s">
        <v>218</v>
      </c>
      <c r="B5" s="37">
        <f>BDbDT_calcs!B61</f>
        <v>478.51525310356396</v>
      </c>
      <c r="C5" s="37">
        <f>BDbDT_calcs!C61</f>
        <v>488.48784754006562</v>
      </c>
      <c r="D5" s="37">
        <f>BDbDT_calcs!D61</f>
        <v>498.01299181459808</v>
      </c>
      <c r="E5" s="37">
        <f>BDbDT_calcs!E61</f>
        <v>507.66318865158809</v>
      </c>
      <c r="F5" s="37">
        <f>BDbDT_calcs!F61</f>
        <v>517.60706268453521</v>
      </c>
      <c r="G5" s="37">
        <f>BDbDT_calcs!G61</f>
        <v>527.86356190247909</v>
      </c>
      <c r="H5" s="37">
        <f>BDbDT_calcs!H61</f>
        <v>538.42515322925476</v>
      </c>
      <c r="I5" s="37">
        <f>BDbDT_calcs!I61</f>
        <v>552.12515840905871</v>
      </c>
      <c r="J5" s="37">
        <f>BDbDT_calcs!J61</f>
        <v>566.19858107731795</v>
      </c>
      <c r="K5" s="37">
        <f>BDbDT_calcs!K61</f>
        <v>580.61733393805014</v>
      </c>
      <c r="L5" s="37">
        <f>BDbDT_calcs!L61</f>
        <v>595.38951117096155</v>
      </c>
      <c r="M5" s="37">
        <f>BDbDT_calcs!M61</f>
        <v>610.49162465334814</v>
      </c>
      <c r="N5" s="37">
        <f>BDbDT_calcs!N61</f>
        <v>625.95941553958323</v>
      </c>
      <c r="O5" s="37">
        <f>BDbDT_calcs!O61</f>
        <v>641.64010565360434</v>
      </c>
      <c r="P5" s="37">
        <f>BDbDT_calcs!P61</f>
        <v>657.60712576683227</v>
      </c>
      <c r="Q5" s="37">
        <f>BDbDT_calcs!Q61</f>
        <v>673.72976245468772</v>
      </c>
      <c r="R5" s="37">
        <f>BDbDT_calcs!R61</f>
        <v>689.99157879054542</v>
      </c>
      <c r="S5" s="37">
        <f>BDbDT_calcs!S61</f>
        <v>706.63400259550997</v>
      </c>
      <c r="T5" s="37">
        <f>BDbDT_calcs!T61</f>
        <v>723.28362399221282</v>
      </c>
      <c r="U5" s="37">
        <f>BDbDT_calcs!U61</f>
        <v>739.94501216909032</v>
      </c>
      <c r="V5" s="37">
        <f>BDbDT_calcs!V61</f>
        <v>756.52441552198627</v>
      </c>
      <c r="W5" s="37">
        <f>BDbDT_calcs!W61</f>
        <v>772.87023235982531</v>
      </c>
      <c r="X5" s="37">
        <f>BDbDT_calcs!X61</f>
        <v>788.91526725852634</v>
      </c>
      <c r="Y5" s="37">
        <f>BDbDT_calcs!Y61</f>
        <v>804.84433096208204</v>
      </c>
      <c r="Z5" s="37">
        <f>BDbDT_calcs!Z61</f>
        <v>820.42282843949465</v>
      </c>
      <c r="AA5" s="37">
        <f>BDbDT_calcs!AA61</f>
        <v>835.62593765804047</v>
      </c>
      <c r="AB5" s="37">
        <f>BDbDT_calcs!AB61</f>
        <v>850.34799907120612</v>
      </c>
    </row>
    <row r="6" spans="1:28" x14ac:dyDescent="0.25">
      <c r="A6" s="4" t="s">
        <v>219</v>
      </c>
      <c r="B6" s="37">
        <f>BDbDT_calcs!B62</f>
        <v>616.80202302689474</v>
      </c>
      <c r="C6" s="37">
        <f>BDbDT_calcs!C62</f>
        <v>634.90368051481153</v>
      </c>
      <c r="D6" s="37">
        <f>BDbDT_calcs!D62</f>
        <v>652.94246558744055</v>
      </c>
      <c r="E6" s="37">
        <f>BDbDT_calcs!E62</f>
        <v>672.13107131990671</v>
      </c>
      <c r="F6" s="37">
        <f>BDbDT_calcs!F62</f>
        <v>692.68569676471634</v>
      </c>
      <c r="G6" s="37">
        <f>BDbDT_calcs!G62</f>
        <v>714.61646844067104</v>
      </c>
      <c r="H6" s="37">
        <f>BDbDT_calcs!H62</f>
        <v>737.99575238210195</v>
      </c>
      <c r="I6" s="37">
        <f>BDbDT_calcs!I62</f>
        <v>766.75207131700813</v>
      </c>
      <c r="J6" s="37">
        <f>BDbDT_calcs!J62</f>
        <v>796.81715442168547</v>
      </c>
      <c r="K6" s="37">
        <f>BDbDT_calcs!K62</f>
        <v>828.05998973291992</v>
      </c>
      <c r="L6" s="37">
        <f>BDbDT_calcs!L62</f>
        <v>860.71917221681929</v>
      </c>
      <c r="M6" s="37">
        <f>BDbDT_calcs!M62</f>
        <v>894.65864105375738</v>
      </c>
      <c r="N6" s="37">
        <f>BDbDT_calcs!N62</f>
        <v>929.79114118117229</v>
      </c>
      <c r="O6" s="37">
        <f>BDbDT_calcs!O62</f>
        <v>965.97547508095658</v>
      </c>
      <c r="P6" s="37">
        <f>BDbDT_calcs!P62</f>
        <v>1003.1424906798131</v>
      </c>
      <c r="Q6" s="37">
        <f>BDbDT_calcs!Q62</f>
        <v>1041.1153523883977</v>
      </c>
      <c r="R6" s="37">
        <f>BDbDT_calcs!R62</f>
        <v>1079.8064655046219</v>
      </c>
      <c r="S6" s="37">
        <f>BDbDT_calcs!S62</f>
        <v>1119.4154420860461</v>
      </c>
      <c r="T6" s="37">
        <f>BDbDT_calcs!T62</f>
        <v>1159.5966994616613</v>
      </c>
      <c r="U6" s="37">
        <f>BDbDT_calcs!U62</f>
        <v>1200.0953134221531</v>
      </c>
      <c r="V6" s="37">
        <f>BDbDT_calcs!V62</f>
        <v>1240.9408588660144</v>
      </c>
      <c r="W6" s="37">
        <f>BDbDT_calcs!W62</f>
        <v>1282.0395171218399</v>
      </c>
      <c r="X6" s="37">
        <f>BDbDT_calcs!X62</f>
        <v>1323.4878070522634</v>
      </c>
      <c r="Y6" s="37">
        <f>BDbDT_calcs!Y62</f>
        <v>1365.1874192876769</v>
      </c>
      <c r="Z6" s="37">
        <f>BDbDT_calcs!Z62</f>
        <v>1407.1667391005424</v>
      </c>
      <c r="AA6" s="37">
        <f>BDbDT_calcs!AA62</f>
        <v>1449.3969132632571</v>
      </c>
      <c r="AB6" s="37">
        <f>BDbDT_calcs!AB62</f>
        <v>1491.7576288215228</v>
      </c>
    </row>
    <row r="7" spans="1:28" x14ac:dyDescent="0.25">
      <c r="A7" s="4" t="s">
        <v>220</v>
      </c>
      <c r="B7" s="37">
        <f>BDbDT_calcs!B63</f>
        <v>868.80093152119684</v>
      </c>
      <c r="C7" s="37">
        <f>BDbDT_calcs!C63</f>
        <v>893.04601496538703</v>
      </c>
      <c r="D7" s="37">
        <f>BDbDT_calcs!D63</f>
        <v>917.32492609972223</v>
      </c>
      <c r="E7" s="37">
        <f>BDbDT_calcs!E63</f>
        <v>943.55912734274023</v>
      </c>
      <c r="F7" s="37">
        <f>BDbDT_calcs!F63</f>
        <v>970.21349834658577</v>
      </c>
      <c r="G7" s="37">
        <f>BDbDT_calcs!G63</f>
        <v>998.68572216711516</v>
      </c>
      <c r="H7" s="37">
        <f>BDbDT_calcs!H63</f>
        <v>1028.0945801461999</v>
      </c>
      <c r="I7" s="37">
        <f>BDbDT_calcs!I63</f>
        <v>1063.6586028279037</v>
      </c>
      <c r="J7" s="37">
        <f>BDbDT_calcs!J63</f>
        <v>1100.2590920451187</v>
      </c>
      <c r="K7" s="37">
        <f>BDbDT_calcs!K63</f>
        <v>1139.1119688056428</v>
      </c>
      <c r="L7" s="37">
        <f>BDbDT_calcs!L63</f>
        <v>1179.1697094674871</v>
      </c>
      <c r="M7" s="37">
        <f>BDbDT_calcs!M63</f>
        <v>1220.8167208633358</v>
      </c>
      <c r="N7" s="37">
        <f>BDbDT_calcs!N63</f>
        <v>1263.5433156206052</v>
      </c>
      <c r="O7" s="37">
        <f>BDbDT_calcs!O63</f>
        <v>1307.4642466936307</v>
      </c>
      <c r="P7" s="37">
        <f>BDbDT_calcs!P63</f>
        <v>1352.9434092980518</v>
      </c>
      <c r="Q7" s="37">
        <f>BDbDT_calcs!Q63</f>
        <v>1399.8298173913743</v>
      </c>
      <c r="R7" s="37">
        <f>BDbDT_calcs!R63</f>
        <v>1447.8754643693524</v>
      </c>
      <c r="S7" s="37">
        <f>BDbDT_calcs!S63</f>
        <v>1497.1635845618634</v>
      </c>
      <c r="T7" s="37">
        <f>BDbDT_calcs!T63</f>
        <v>1547.6224765659642</v>
      </c>
      <c r="U7" s="37">
        <f>BDbDT_calcs!U63</f>
        <v>1598.8554059411399</v>
      </c>
      <c r="V7" s="37">
        <f>BDbDT_calcs!V63</f>
        <v>1650.395893578235</v>
      </c>
      <c r="W7" s="37">
        <f>BDbDT_calcs!W63</f>
        <v>1703.2470110619875</v>
      </c>
      <c r="X7" s="37">
        <f>BDbDT_calcs!X63</f>
        <v>1756.5962780006628</v>
      </c>
      <c r="Y7" s="37">
        <f>BDbDT_calcs!Y63</f>
        <v>1810.9382120552837</v>
      </c>
      <c r="Z7" s="37">
        <f>BDbDT_calcs!Z63</f>
        <v>1865.5752681155011</v>
      </c>
      <c r="AA7" s="37">
        <f>BDbDT_calcs!AA63</f>
        <v>1920.7674122704707</v>
      </c>
      <c r="AB7" s="37">
        <f>BDbDT_calcs!AB63</f>
        <v>1976.8003866658232</v>
      </c>
    </row>
    <row r="8" spans="1:28" x14ac:dyDescent="0.25">
      <c r="A8" s="4" t="s">
        <v>221</v>
      </c>
      <c r="B8" s="37">
        <f>BDbDT_calcs!B64</f>
        <v>2255.9795708437887</v>
      </c>
      <c r="C8" s="37">
        <f>BDbDT_calcs!C64</f>
        <v>2348.7738225668022</v>
      </c>
      <c r="D8" s="37">
        <f>BDbDT_calcs!D64</f>
        <v>2441.4957152476577</v>
      </c>
      <c r="E8" s="37">
        <f>BDbDT_calcs!E64</f>
        <v>2537.072642516639</v>
      </c>
      <c r="F8" s="37">
        <f>BDbDT_calcs!F64</f>
        <v>2635.5722297253187</v>
      </c>
      <c r="G8" s="37">
        <f>BDbDT_calcs!G64</f>
        <v>2737.3583751122364</v>
      </c>
      <c r="H8" s="37">
        <f>BDbDT_calcs!H64</f>
        <v>2843.3771861533578</v>
      </c>
      <c r="I8" s="37">
        <f>BDbDT_calcs!I64</f>
        <v>2968.8034654528674</v>
      </c>
      <c r="J8" s="37">
        <f>BDbDT_calcs!J64</f>
        <v>3098.7579483340101</v>
      </c>
      <c r="K8" s="37">
        <f>BDbDT_calcs!K64</f>
        <v>3234.0472322819542</v>
      </c>
      <c r="L8" s="37">
        <f>BDbDT_calcs!L64</f>
        <v>3375.3374347019503</v>
      </c>
      <c r="M8" s="37">
        <f>BDbDT_calcs!M64</f>
        <v>3521.9224020163056</v>
      </c>
      <c r="N8" s="37">
        <f>BDbDT_calcs!N64</f>
        <v>3674.8291648501258</v>
      </c>
      <c r="O8" s="37">
        <f>BDbDT_calcs!O64</f>
        <v>3833.5715277114491</v>
      </c>
      <c r="P8" s="37">
        <f>BDbDT_calcs!P64</f>
        <v>3998.0907291557155</v>
      </c>
      <c r="Q8" s="37">
        <f>BDbDT_calcs!Q64</f>
        <v>4168.6718251496304</v>
      </c>
      <c r="R8" s="37">
        <f>BDbDT_calcs!R64</f>
        <v>4344.5775668379711</v>
      </c>
      <c r="S8" s="37">
        <f>BDbDT_calcs!S64</f>
        <v>4527.4187960830577</v>
      </c>
      <c r="T8" s="37">
        <f>BDbDT_calcs!T64</f>
        <v>4715.7443987620891</v>
      </c>
      <c r="U8" s="37">
        <f>BDbDT_calcs!U64</f>
        <v>4909.3198969762007</v>
      </c>
      <c r="V8" s="37">
        <f>BDbDT_calcs!V64</f>
        <v>5107.5564746212467</v>
      </c>
      <c r="W8" s="37">
        <f>BDbDT_calcs!W64</f>
        <v>5309.791167751463</v>
      </c>
      <c r="X8" s="37">
        <f>BDbDT_calcs!X64</f>
        <v>5516.6983283305617</v>
      </c>
      <c r="Y8" s="37">
        <f>BDbDT_calcs!Y64</f>
        <v>5727.2009386031414</v>
      </c>
      <c r="Z8" s="37">
        <f>BDbDT_calcs!Z64</f>
        <v>5941.226775557594</v>
      </c>
      <c r="AA8" s="37">
        <f>BDbDT_calcs!AA64</f>
        <v>6157.4293683092346</v>
      </c>
      <c r="AB8" s="37">
        <f>BDbDT_calcs!AB64</f>
        <v>6375.5948642228041</v>
      </c>
    </row>
    <row r="9" spans="1:28" x14ac:dyDescent="0.25">
      <c r="A9" s="4" t="s">
        <v>222</v>
      </c>
      <c r="B9" s="37">
        <f>BDbDT_calcs!B65</f>
        <v>28422.729596553549</v>
      </c>
      <c r="C9" s="37">
        <f>BDbDT_calcs!C65</f>
        <v>29018.468165045542</v>
      </c>
      <c r="D9" s="37">
        <f>BDbDT_calcs!D65</f>
        <v>29583.162316994392</v>
      </c>
      <c r="E9" s="37">
        <f>BDbDT_calcs!E65</f>
        <v>30157.579601611054</v>
      </c>
      <c r="F9" s="37">
        <f>BDbDT_calcs!F65</f>
        <v>30747.799020420942</v>
      </c>
      <c r="G9" s="37">
        <f>BDbDT_calcs!G65</f>
        <v>31355.005243993863</v>
      </c>
      <c r="H9" s="37">
        <f>BDbDT_calcs!H65</f>
        <v>31978.643209292277</v>
      </c>
      <c r="I9" s="37">
        <f>BDbDT_calcs!I65</f>
        <v>32782.672043532322</v>
      </c>
      <c r="J9" s="37">
        <f>BDbDT_calcs!J65</f>
        <v>33602.011382755809</v>
      </c>
      <c r="K9" s="37">
        <f>BDbDT_calcs!K65</f>
        <v>34431.006892089477</v>
      </c>
      <c r="L9" s="37">
        <f>BDbDT_calcs!L65</f>
        <v>35266.933530021961</v>
      </c>
      <c r="M9" s="37">
        <f>BDbDT_calcs!M65</f>
        <v>36109.197379146586</v>
      </c>
      <c r="N9" s="37">
        <f>BDbDT_calcs!N65</f>
        <v>36950.243394635312</v>
      </c>
      <c r="O9" s="37">
        <f>BDbDT_calcs!O65</f>
        <v>37785.615596156742</v>
      </c>
      <c r="P9" s="37">
        <f>BDbDT_calcs!P65</f>
        <v>38611.347531720538</v>
      </c>
      <c r="Q9" s="37">
        <f>BDbDT_calcs!Q65</f>
        <v>39420.311022284914</v>
      </c>
      <c r="R9" s="37">
        <f>BDbDT_calcs!R65</f>
        <v>40207.61881263469</v>
      </c>
      <c r="S9" s="37">
        <f>BDbDT_calcs!S65</f>
        <v>40982.405167115772</v>
      </c>
      <c r="T9" s="37">
        <f>BDbDT_calcs!T65</f>
        <v>41727.136508912612</v>
      </c>
      <c r="U9" s="37">
        <f>BDbDT_calcs!U65</f>
        <v>42440.07857901149</v>
      </c>
      <c r="V9" s="37">
        <f>BDbDT_calcs!V65</f>
        <v>43109.359573305002</v>
      </c>
      <c r="W9" s="37">
        <f>BDbDT_calcs!W65</f>
        <v>43730.694483829378</v>
      </c>
      <c r="X9" s="37">
        <f>BDbDT_calcs!X65</f>
        <v>44301.499516892189</v>
      </c>
      <c r="Y9" s="37">
        <f>BDbDT_calcs!Y65</f>
        <v>44843.902644405403</v>
      </c>
      <c r="Z9" s="37">
        <f>BDbDT_calcs!Z65</f>
        <v>45336.191469328827</v>
      </c>
      <c r="AA9" s="37">
        <f>BDbDT_calcs!AA65</f>
        <v>45775.800502012295</v>
      </c>
      <c r="AB9" s="37">
        <f>BDbDT_calcs!AB65</f>
        <v>46164.06160990597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2026-08-17T20:29:41Z</dcterms:modified>
</cp:coreProperties>
</file>