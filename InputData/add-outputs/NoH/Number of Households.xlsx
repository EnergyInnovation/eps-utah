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UT\add-outputs\NoH\"/>
    </mc:Choice>
  </mc:AlternateContent>
  <xr:revisionPtr revIDLastSave="0" documentId="8_{6A24DD80-71EC-4374-BAB6-85053006C36B}"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D2" i="3"/>
  <c r="Z2" i="3"/>
  <c r="E2" i="3"/>
  <c r="AA2" i="3"/>
  <c r="F2" i="3"/>
  <c r="AB2" i="3"/>
  <c r="G2" i="3"/>
  <c r="AC2" i="3"/>
  <c r="H2" i="3"/>
  <c r="AD2" i="3"/>
  <c r="I2" i="3"/>
  <c r="AE2" i="3"/>
  <c r="J2" i="3"/>
  <c r="B2" i="3"/>
  <c r="K2" i="3"/>
  <c r="L2" i="3"/>
  <c r="M2" i="3"/>
  <c r="N2" i="3"/>
  <c r="O2" i="3"/>
  <c r="P2" i="3"/>
  <c r="R2" i="3"/>
  <c r="Q2" i="3"/>
  <c r="S2" i="3"/>
  <c r="T2" i="3"/>
  <c r="W2" i="3"/>
  <c r="U2" i="3"/>
  <c r="V2" i="3"/>
  <c r="X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<sst xmlns="http://schemas.openxmlformats.org/spreadsheetml/2006/main" count="1069" uniqueCount="448">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</sst>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414</v>
      </c>
      <c r="C1" s="68">
        <v>46185</v>
      </c>
      <c r="H1" t="s">
        <v>324</v>
      </c>
      <c r="I1" t="s">
        <v>325</v>
      </c>
    </row>
    <row r="2" spans="1:9" x14ac:dyDescent="0.25">
      <c r="B2" t="str">
        <f>VLOOKUP(B1,H2:I52,2)</f>
        <v>UT</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1031669.7689517773</v>
      </c>
      <c r="C2">
        <f>SUMIFS('state calcs'!C62:C112,'state calcs'!$A$62:$A$112,About!$B$2)</f>
        <v>1055570.2317131951</v>
      </c>
      <c r="D2">
        <f>SUMIFS('state calcs'!D62:D112,'state calcs'!$A$62:$A$112,About!$B$2)</f>
        <v>1073339.3342569252</v>
      </c>
      <c r="E2">
        <f>SUMIFS('state calcs'!E62:E112,'state calcs'!$A$62:$A$112,About!$B$2)</f>
        <v>1091188.4235548535</v>
      </c>
      <c r="F2">
        <f>SUMIFS('state calcs'!F62:F112,'state calcs'!$A$62:$A$112,About!$B$2)</f>
        <v>1109328.2657755595</v>
      </c>
      <c r="G2">
        <f>SUMIFS('state calcs'!G62:G112,'state calcs'!$A$62:$A$112,About!$B$2)</f>
        <v>1127502.4987696267</v>
      </c>
      <c r="H2">
        <f>SUMIFS('state calcs'!H62:H112,'state calcs'!$A$62:$A$112,About!$B$2)</f>
        <v>1145790.6647523185</v>
      </c>
      <c r="I2">
        <f>SUMIFS('state calcs'!I62:I112,'state calcs'!$A$62:$A$112,About!$B$2)</f>
        <v>1164214.0875919862</v>
      </c>
      <c r="J2">
        <f>SUMIFS('state calcs'!J62:J112,'state calcs'!$A$62:$A$112,About!$B$2)</f>
        <v>1182617.0753650807</v>
      </c>
      <c r="K2">
        <f>SUMIFS('state calcs'!K62:K112,'state calcs'!$A$62:$A$112,About!$B$2)</f>
        <v>1200806.1078432477</v>
      </c>
      <c r="L2">
        <f>SUMIFS('state calcs'!L62:L112,'state calcs'!$A$62:$A$112,About!$B$2)</f>
        <v>1223548.9263540865</v>
      </c>
      <c r="M2">
        <f>SUMIFS('state calcs'!M62:M112,'state calcs'!$A$62:$A$112,About!$B$2)</f>
        <v>1246338.7648098723</v>
      </c>
      <c r="N2">
        <f>SUMIFS('state calcs'!N62:N112,'state calcs'!$A$62:$A$112,About!$B$2)</f>
        <v>1269021.7210141288</v>
      </c>
      <c r="O2">
        <f>SUMIFS('state calcs'!O62:O112,'state calcs'!$A$62:$A$112,About!$B$2)</f>
        <v>1291496.0586976472</v>
      </c>
      <c r="P2">
        <f>SUMIFS('state calcs'!P62:P112,'state calcs'!$A$62:$A$112,About!$B$2)</f>
        <v>1313939.4297400303</v>
      </c>
      <c r="Q2">
        <f>SUMIFS('state calcs'!Q62:Q112,'state calcs'!$A$62:$A$112,About!$B$2)</f>
        <v>1336500.9099655645</v>
      </c>
      <c r="R2">
        <f>SUMIFS('state calcs'!R62:R112,'state calcs'!$A$62:$A$112,About!$B$2)</f>
        <v>1359099.7224327114</v>
      </c>
      <c r="S2">
        <f>SUMIFS('state calcs'!S62:S112,'state calcs'!$A$62:$A$112,About!$B$2)</f>
        <v>1381755.8119596841</v>
      </c>
      <c r="T2">
        <f>SUMIFS('state calcs'!T62:T112,'state calcs'!$A$62:$A$112,About!$B$2)</f>
        <v>1404435.132168578</v>
      </c>
      <c r="U2">
        <f>SUMIFS('state calcs'!U62:U112,'state calcs'!$A$62:$A$112,About!$B$2)</f>
        <v>1427327.6913427056</v>
      </c>
      <c r="V2">
        <f>SUMIFS('state calcs'!V62:V112,'state calcs'!$A$62:$A$112,About!$B$2)</f>
        <v>1452066.6406966972</v>
      </c>
      <c r="W2">
        <f>SUMIFS('state calcs'!W62:W112,'state calcs'!$A$62:$A$112,About!$B$2)</f>
        <v>1476780.2658618847</v>
      </c>
      <c r="X2">
        <f>SUMIFS('state calcs'!X62:X112,'state calcs'!$A$62:$A$112,About!$B$2)</f>
        <v>1501543.3235366857</v>
      </c>
      <c r="Y2">
        <f>SUMIFS('state calcs'!Y62:Y112,'state calcs'!$A$62:$A$112,About!$B$2)</f>
        <v>1526360.3195695318</v>
      </c>
      <c r="Z2">
        <f>SUMIFS('state calcs'!Z62:Z112,'state calcs'!$A$62:$A$112,About!$B$2)</f>
        <v>1551239.2370423332</v>
      </c>
      <c r="AA2">
        <f>SUMIFS('state calcs'!AA62:AA112,'state calcs'!$A$62:$A$112,About!$B$2)</f>
        <v>1576138.0388581664</v>
      </c>
      <c r="AB2">
        <f>SUMIFS('state calcs'!AB62:AB112,'state calcs'!$A$62:$A$112,About!$B$2)</f>
        <v>1601120.0994583839</v>
      </c>
      <c r="AC2">
        <f>SUMIFS('state calcs'!AC62:AC112,'state calcs'!$A$62:$A$112,About!$B$2)</f>
        <v>1626107.7896740858</v>
      </c>
      <c r="AD2">
        <f>SUMIFS('state calcs'!AD62:AD112,'state calcs'!$A$62:$A$112,About!$B$2)</f>
        <v>1651085.9220645505</v>
      </c>
      <c r="AE2">
        <f>SUMIFS('state calcs'!AE62:AE112,'state calcs'!$A$62:$A$112,About!$B$2)</f>
        <v>1676083.1172302184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2026-06-12T19:30:10Z</dcterms:modified>
</cp:coreProperties>
</file>