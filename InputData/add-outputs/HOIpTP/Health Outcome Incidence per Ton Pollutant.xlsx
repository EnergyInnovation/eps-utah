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UT\add-outputs\HOIpTP\"/>
    </mc:Choice>
  </mc:AlternateContent>
  <xr:revisionPtr revIDLastSave="0" documentId="8_{DD4F0CC1-AA02-4F15-89D8-E16FB7808FC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L7" i="19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J3" i="19"/>
  <c r="F3" i="19"/>
  <c r="B3" i="19"/>
  <c r="O3" i="19" s="1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X8" i="18"/>
  <c r="V8" i="18"/>
  <c r="N8" i="18"/>
  <c r="F8" i="18"/>
  <c r="E8" i="18"/>
  <c r="B8" i="18"/>
  <c r="Y8" i="18" s="1"/>
  <c r="AB7" i="18"/>
  <c r="AA7" i="18"/>
  <c r="H7" i="18"/>
  <c r="D7" i="18"/>
  <c r="C7" i="18"/>
  <c r="B7" i="18"/>
  <c r="G7" i="18" s="1"/>
  <c r="P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N3" i="18"/>
  <c r="E3" i="18"/>
  <c r="B3" i="18"/>
  <c r="B2" i="18"/>
  <c r="D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D13" i="17"/>
  <c r="B13" i="17"/>
  <c r="U13" i="17" s="1"/>
  <c r="Z12" i="17"/>
  <c r="Y12" i="17"/>
  <c r="T12" i="17"/>
  <c r="S12" i="17"/>
  <c r="P12" i="17"/>
  <c r="O12" i="17"/>
  <c r="M12" i="17"/>
  <c r="J12" i="17"/>
  <c r="H12" i="17"/>
  <c r="D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P8" i="17"/>
  <c r="F8" i="17"/>
  <c r="D8" i="17"/>
  <c r="B8" i="17"/>
  <c r="AB8" i="17" s="1"/>
  <c r="Z7" i="17"/>
  <c r="Y7" i="17"/>
  <c r="B7" i="17"/>
  <c r="W7" i="17" s="1"/>
  <c r="G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Z17" i="16"/>
  <c r="Y17" i="16"/>
  <c r="V17" i="16"/>
  <c r="U17" i="16"/>
  <c r="R17" i="16"/>
  <c r="H17" i="16"/>
  <c r="B17" i="16"/>
  <c r="J17" i="16" s="1"/>
  <c r="B16" i="16"/>
  <c r="AA15" i="16"/>
  <c r="X15" i="16"/>
  <c r="K15" i="16"/>
  <c r="B15" i="16"/>
  <c r="Y15" i="16" s="1"/>
  <c r="B14" i="16"/>
  <c r="X13" i="16"/>
  <c r="W13" i="16"/>
  <c r="D13" i="16"/>
  <c r="B13" i="16"/>
  <c r="J13" i="16" s="1"/>
  <c r="Y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R7" i="16"/>
  <c r="O7" i="16"/>
  <c r="H7" i="16"/>
  <c r="G7" i="16"/>
  <c r="E7" i="16"/>
  <c r="D7" i="16"/>
  <c r="C7" i="16"/>
  <c r="B7" i="16"/>
  <c r="Z7" i="16" s="1"/>
  <c r="W6" i="16"/>
  <c r="V6" i="16"/>
  <c r="E6" i="16"/>
  <c r="B6" i="16"/>
  <c r="T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R3" i="16"/>
  <c r="C3" i="16"/>
  <c r="B3" i="16"/>
  <c r="W3" i="16" s="1"/>
  <c r="B2" i="16"/>
  <c r="AA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T15" i="15"/>
  <c r="S15" i="15"/>
  <c r="K15" i="15"/>
  <c r="I15" i="15"/>
  <c r="G15" i="15"/>
  <c r="E15" i="15"/>
  <c r="C15" i="15"/>
  <c r="B15" i="15"/>
  <c r="AA15" i="15" s="1"/>
  <c r="AB14" i="15"/>
  <c r="M14" i="15"/>
  <c r="D14" i="15"/>
  <c r="B14" i="15"/>
  <c r="O14" i="15" s="1"/>
  <c r="W13" i="15"/>
  <c r="V13" i="15"/>
  <c r="S13" i="15"/>
  <c r="R13" i="15"/>
  <c r="Q13" i="15"/>
  <c r="O13" i="15"/>
  <c r="N13" i="15"/>
  <c r="M13" i="15"/>
  <c r="L13" i="15"/>
  <c r="I13" i="15"/>
  <c r="F13" i="15"/>
  <c r="D13" i="15"/>
  <c r="B13" i="15"/>
  <c r="P13" i="15" s="1"/>
  <c r="X12" i="15"/>
  <c r="W12" i="15"/>
  <c r="T12" i="15"/>
  <c r="P12" i="15"/>
  <c r="K12" i="15"/>
  <c r="B12" i="15"/>
  <c r="S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X8" i="15"/>
  <c r="R8" i="15"/>
  <c r="O8" i="15"/>
  <c r="M8" i="15"/>
  <c r="L8" i="15"/>
  <c r="K8" i="15"/>
  <c r="J8" i="15"/>
  <c r="H8" i="15"/>
  <c r="G8" i="15"/>
  <c r="F8" i="15"/>
  <c r="C8" i="15"/>
  <c r="B8" i="15"/>
  <c r="E8" i="15" s="1"/>
  <c r="AA7" i="15"/>
  <c r="Y7" i="15"/>
  <c r="V7" i="15"/>
  <c r="B7" i="15"/>
  <c r="S7" i="15" s="1"/>
  <c r="AB6" i="15"/>
  <c r="AA6" i="15"/>
  <c r="V6" i="15"/>
  <c r="U6" i="15"/>
  <c r="S6" i="15"/>
  <c r="R6" i="15"/>
  <c r="Q6" i="15"/>
  <c r="P6" i="15"/>
  <c r="O6" i="15"/>
  <c r="N6" i="15"/>
  <c r="M6" i="15"/>
  <c r="J6" i="15"/>
  <c r="I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Z3" i="15" s="1"/>
  <c r="AA2" i="15"/>
  <c r="R2" i="15"/>
  <c r="N2" i="15"/>
  <c r="F2" i="15"/>
  <c r="B2" i="15"/>
  <c r="Z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P15" i="14"/>
  <c r="H15" i="14"/>
  <c r="C15" i="14"/>
  <c r="B15" i="14"/>
  <c r="Y15" i="14" s="1"/>
  <c r="B14" i="14"/>
  <c r="Y14" i="14" s="1"/>
  <c r="X13" i="14"/>
  <c r="B13" i="14"/>
  <c r="Q13" i="14" s="1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S7" i="14"/>
  <c r="P7" i="14"/>
  <c r="N7" i="14"/>
  <c r="I7" i="14"/>
  <c r="D7" i="14"/>
  <c r="B7" i="14"/>
  <c r="V7" i="14" s="1"/>
  <c r="AA6" i="14"/>
  <c r="X6" i="14"/>
  <c r="S6" i="14"/>
  <c r="P6" i="14"/>
  <c r="N6" i="14"/>
  <c r="M6" i="14"/>
  <c r="L6" i="14"/>
  <c r="K6" i="14"/>
  <c r="H6" i="14"/>
  <c r="G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Y3" i="14"/>
  <c r="W3" i="14"/>
  <c r="V3" i="14"/>
  <c r="T3" i="14"/>
  <c r="S3" i="14"/>
  <c r="P3" i="14"/>
  <c r="N3" i="14"/>
  <c r="M3" i="14"/>
  <c r="L3" i="14"/>
  <c r="K3" i="14"/>
  <c r="G3" i="14"/>
  <c r="F3" i="14"/>
  <c r="D3" i="14"/>
  <c r="B3" i="14"/>
  <c r="AB2" i="14"/>
  <c r="AA2" i="14"/>
  <c r="Z2" i="14"/>
  <c r="X2" i="14"/>
  <c r="V2" i="14"/>
  <c r="R2" i="14"/>
  <c r="P2" i="14"/>
  <c r="O2" i="14"/>
  <c r="M2" i="14"/>
  <c r="L2" i="14"/>
  <c r="G2" i="14"/>
  <c r="F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S15" i="13"/>
  <c r="R15" i="13"/>
  <c r="P15" i="13"/>
  <c r="O15" i="13"/>
  <c r="M15" i="13"/>
  <c r="L15" i="13"/>
  <c r="K15" i="13"/>
  <c r="J15" i="13"/>
  <c r="I15" i="13"/>
  <c r="H15" i="13"/>
  <c r="G15" i="13"/>
  <c r="E15" i="13"/>
  <c r="D15" i="13"/>
  <c r="C15" i="13"/>
  <c r="B15" i="13"/>
  <c r="X15" i="13" s="1"/>
  <c r="AA14" i="13"/>
  <c r="Y14" i="13"/>
  <c r="W14" i="13"/>
  <c r="V14" i="13"/>
  <c r="T14" i="13"/>
  <c r="S14" i="13"/>
  <c r="Q14" i="13"/>
  <c r="P14" i="13"/>
  <c r="N14" i="13"/>
  <c r="M14" i="13"/>
  <c r="L14" i="13"/>
  <c r="K14" i="13"/>
  <c r="J14" i="13"/>
  <c r="H14" i="13"/>
  <c r="F14" i="13"/>
  <c r="B14" i="13"/>
  <c r="U14" i="13" s="1"/>
  <c r="Y13" i="13"/>
  <c r="S13" i="13"/>
  <c r="R13" i="13"/>
  <c r="Q13" i="13"/>
  <c r="B13" i="13"/>
  <c r="Z13" i="13" s="1"/>
  <c r="M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X7" i="13"/>
  <c r="W7" i="13"/>
  <c r="U7" i="13"/>
  <c r="M7" i="13"/>
  <c r="E7" i="13"/>
  <c r="B7" i="13"/>
  <c r="AA7" i="13" s="1"/>
  <c r="O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K3" i="13"/>
  <c r="J3" i="13"/>
  <c r="I3" i="13"/>
  <c r="F3" i="13"/>
  <c r="E3" i="13"/>
  <c r="D3" i="13"/>
  <c r="C3" i="13"/>
  <c r="B3" i="13"/>
  <c r="AA3" i="13" s="1"/>
  <c r="Z2" i="13"/>
  <c r="Y2" i="13"/>
  <c r="V2" i="13"/>
  <c r="U2" i="13"/>
  <c r="R2" i="13"/>
  <c r="Q2" i="13"/>
  <c r="P2" i="13"/>
  <c r="O2" i="13"/>
  <c r="M2" i="13"/>
  <c r="L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O17" i="12" s="1"/>
  <c r="AB16" i="12"/>
  <c r="AA16" i="12"/>
  <c r="Z16" i="12"/>
  <c r="J16" i="12"/>
  <c r="C16" i="12"/>
  <c r="B16" i="12"/>
  <c r="Z15" i="12"/>
  <c r="T15" i="12"/>
  <c r="R15" i="12"/>
  <c r="Q15" i="12"/>
  <c r="O15" i="12"/>
  <c r="N15" i="12"/>
  <c r="L15" i="12"/>
  <c r="K15" i="12"/>
  <c r="I15" i="12"/>
  <c r="H15" i="12"/>
  <c r="G15" i="12"/>
  <c r="F15" i="12"/>
  <c r="E15" i="12"/>
  <c r="D15" i="12"/>
  <c r="B15" i="12"/>
  <c r="W14" i="12"/>
  <c r="Q14" i="12"/>
  <c r="B14" i="12"/>
  <c r="Y14" i="12" s="1"/>
  <c r="B13" i="12"/>
  <c r="B12" i="12"/>
  <c r="Z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Z8" i="12"/>
  <c r="Y8" i="12"/>
  <c r="X8" i="12"/>
  <c r="W8" i="12"/>
  <c r="S8" i="12"/>
  <c r="R8" i="12"/>
  <c r="P8" i="12"/>
  <c r="H8" i="12"/>
  <c r="D8" i="12"/>
  <c r="B8" i="12"/>
  <c r="AA8" i="12" s="1"/>
  <c r="AB7" i="12"/>
  <c r="Y7" i="12"/>
  <c r="X7" i="12"/>
  <c r="V7" i="12"/>
  <c r="S7" i="12"/>
  <c r="K7" i="12"/>
  <c r="J7" i="12"/>
  <c r="F7" i="12"/>
  <c r="E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T3" i="12"/>
  <c r="I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J17" i="11"/>
  <c r="B17" i="11"/>
  <c r="P17" i="11" s="1"/>
  <c r="AB16" i="11"/>
  <c r="Y16" i="11"/>
  <c r="W16" i="11"/>
  <c r="V16" i="11"/>
  <c r="D16" i="11"/>
  <c r="B16" i="11"/>
  <c r="AA16" i="11" s="1"/>
  <c r="W15" i="11"/>
  <c r="R15" i="11"/>
  <c r="B15" i="11"/>
  <c r="AB14" i="11"/>
  <c r="AA14" i="11"/>
  <c r="X14" i="11"/>
  <c r="O14" i="11"/>
  <c r="G14" i="11"/>
  <c r="C14" i="11"/>
  <c r="B14" i="11"/>
  <c r="W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X12" i="11"/>
  <c r="U12" i="11"/>
  <c r="P12" i="11"/>
  <c r="O12" i="11"/>
  <c r="M12" i="11"/>
  <c r="L12" i="11"/>
  <c r="K12" i="11"/>
  <c r="J12" i="11"/>
  <c r="I12" i="11"/>
  <c r="G12" i="11"/>
  <c r="E12" i="11"/>
  <c r="B12" i="11"/>
  <c r="Z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I8" i="11"/>
  <c r="C8" i="11"/>
  <c r="B8" i="11"/>
  <c r="AB7" i="11"/>
  <c r="AA7" i="11"/>
  <c r="X7" i="11"/>
  <c r="W7" i="11"/>
  <c r="V7" i="11"/>
  <c r="U7" i="11"/>
  <c r="T7" i="11"/>
  <c r="S7" i="11"/>
  <c r="P7" i="11"/>
  <c r="O7" i="11"/>
  <c r="M7" i="11"/>
  <c r="L7" i="11"/>
  <c r="K7" i="11"/>
  <c r="J7" i="11"/>
  <c r="I7" i="11"/>
  <c r="H7" i="11"/>
  <c r="G7" i="11"/>
  <c r="F7" i="11"/>
  <c r="E7" i="11"/>
  <c r="D7" i="11"/>
  <c r="C7" i="11"/>
  <c r="B7" i="11"/>
  <c r="Q7" i="11" s="1"/>
  <c r="X6" i="11"/>
  <c r="T6" i="11"/>
  <c r="R6" i="11"/>
  <c r="Q6" i="11"/>
  <c r="I6" i="11"/>
  <c r="E6" i="11"/>
  <c r="B6" i="11"/>
  <c r="U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Q3" i="11"/>
  <c r="P3" i="11"/>
  <c r="L3" i="11"/>
  <c r="B3" i="11"/>
  <c r="U3" i="11" s="1"/>
  <c r="I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U15" i="10"/>
  <c r="Q15" i="10"/>
  <c r="N15" i="10"/>
  <c r="I15" i="10"/>
  <c r="G15" i="10"/>
  <c r="F15" i="10"/>
  <c r="E15" i="10"/>
  <c r="C15" i="10"/>
  <c r="B15" i="10"/>
  <c r="Y15" i="10" s="1"/>
  <c r="AA14" i="10"/>
  <c r="Z14" i="10"/>
  <c r="Y14" i="10"/>
  <c r="T14" i="10"/>
  <c r="Q14" i="10"/>
  <c r="M14" i="10"/>
  <c r="J14" i="10"/>
  <c r="G14" i="10"/>
  <c r="F14" i="10"/>
  <c r="D14" i="10"/>
  <c r="C14" i="10"/>
  <c r="B14" i="10"/>
  <c r="W14" i="10" s="1"/>
  <c r="AA13" i="10"/>
  <c r="Z13" i="10"/>
  <c r="Y13" i="10"/>
  <c r="P13" i="10"/>
  <c r="M13" i="10"/>
  <c r="H13" i="10"/>
  <c r="F13" i="10"/>
  <c r="D13" i="10"/>
  <c r="B13" i="10"/>
  <c r="AA12" i="10"/>
  <c r="B12" i="10"/>
  <c r="AB12" i="10" s="1"/>
  <c r="C11" i="10"/>
  <c r="B11" i="10"/>
  <c r="B10" i="10"/>
  <c r="B9" i="10"/>
  <c r="B8" i="10"/>
  <c r="AB8" i="10" s="1"/>
  <c r="X7" i="10"/>
  <c r="B7" i="10"/>
  <c r="R6" i="10"/>
  <c r="H6" i="10"/>
  <c r="B6" i="10"/>
  <c r="O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J3" i="10"/>
  <c r="B3" i="10"/>
  <c r="Q3" i="10" s="1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U17" i="9"/>
  <c r="T17" i="9"/>
  <c r="S17" i="9"/>
  <c r="R17" i="9"/>
  <c r="Q17" i="9"/>
  <c r="P17" i="9"/>
  <c r="O17" i="9"/>
  <c r="M17" i="9"/>
  <c r="J17" i="9"/>
  <c r="E17" i="9"/>
  <c r="B17" i="9"/>
  <c r="AA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K15" i="9"/>
  <c r="B15" i="9"/>
  <c r="Z14" i="9"/>
  <c r="V14" i="9"/>
  <c r="T14" i="9"/>
  <c r="S14" i="9"/>
  <c r="R14" i="9"/>
  <c r="Q14" i="9"/>
  <c r="P14" i="9"/>
  <c r="O14" i="9"/>
  <c r="N14" i="9"/>
  <c r="M14" i="9"/>
  <c r="L14" i="9"/>
  <c r="I14" i="9"/>
  <c r="G14" i="9"/>
  <c r="D14" i="9"/>
  <c r="B14" i="9"/>
  <c r="Y14" i="9" s="1"/>
  <c r="B13" i="9"/>
  <c r="Q13" i="9" s="1"/>
  <c r="AB12" i="9"/>
  <c r="AA12" i="9"/>
  <c r="Z12" i="9"/>
  <c r="U12" i="9"/>
  <c r="O12" i="9"/>
  <c r="H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B8" i="9"/>
  <c r="R8" i="9" s="1"/>
  <c r="AA7" i="9"/>
  <c r="W7" i="9"/>
  <c r="U7" i="9"/>
  <c r="T7" i="9"/>
  <c r="B7" i="9"/>
  <c r="D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Y3" i="9"/>
  <c r="O3" i="9"/>
  <c r="K3" i="9"/>
  <c r="G3" i="9"/>
  <c r="F3" i="9"/>
  <c r="C3" i="9"/>
  <c r="B3" i="9"/>
  <c r="Z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U15" i="8"/>
  <c r="P15" i="8"/>
  <c r="O15" i="8"/>
  <c r="L15" i="8"/>
  <c r="J15" i="8"/>
  <c r="I15" i="8"/>
  <c r="E15" i="8"/>
  <c r="B15" i="8"/>
  <c r="AA15" i="8" s="1"/>
  <c r="T14" i="8"/>
  <c r="Q14" i="8"/>
  <c r="N14" i="8"/>
  <c r="K14" i="8"/>
  <c r="J14" i="8"/>
  <c r="I14" i="8"/>
  <c r="B14" i="8"/>
  <c r="E14" i="8" s="1"/>
  <c r="U13" i="8"/>
  <c r="Q13" i="8"/>
  <c r="N13" i="8"/>
  <c r="L13" i="8"/>
  <c r="K13" i="8"/>
  <c r="J13" i="8"/>
  <c r="B13" i="8"/>
  <c r="AB13" i="8" s="1"/>
  <c r="AA12" i="8"/>
  <c r="Z12" i="8"/>
  <c r="Y12" i="8"/>
  <c r="X12" i="8"/>
  <c r="V12" i="8"/>
  <c r="U12" i="8"/>
  <c r="S12" i="8"/>
  <c r="R12" i="8"/>
  <c r="Q12" i="8"/>
  <c r="O12" i="8"/>
  <c r="N12" i="8"/>
  <c r="H12" i="8"/>
  <c r="E12" i="8"/>
  <c r="D12" i="8"/>
  <c r="C12" i="8"/>
  <c r="B12" i="8"/>
  <c r="AB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U7" i="8"/>
  <c r="T7" i="8"/>
  <c r="S7" i="8"/>
  <c r="Q7" i="8"/>
  <c r="P7" i="8"/>
  <c r="O7" i="8"/>
  <c r="M7" i="8"/>
  <c r="K7" i="8"/>
  <c r="J7" i="8"/>
  <c r="G7" i="8"/>
  <c r="B7" i="8"/>
  <c r="W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J3" i="8" s="1"/>
  <c r="AA2" i="8"/>
  <c r="V2" i="8"/>
  <c r="U2" i="8"/>
  <c r="T2" i="8"/>
  <c r="R2" i="8"/>
  <c r="Q2" i="8"/>
  <c r="P2" i="8"/>
  <c r="G2" i="8"/>
  <c r="B2" i="8"/>
  <c r="C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K17" i="7"/>
  <c r="J17" i="7"/>
  <c r="H17" i="7"/>
  <c r="C17" i="7"/>
  <c r="B17" i="7"/>
  <c r="N16" i="7"/>
  <c r="M16" i="7"/>
  <c r="L16" i="7"/>
  <c r="J16" i="7"/>
  <c r="H16" i="7"/>
  <c r="G16" i="7"/>
  <c r="B16" i="7"/>
  <c r="AA16" i="7" s="1"/>
  <c r="Z15" i="7"/>
  <c r="Y15" i="7"/>
  <c r="B15" i="7"/>
  <c r="M15" i="7" s="1"/>
  <c r="AB14" i="7"/>
  <c r="AA14" i="7"/>
  <c r="B14" i="7"/>
  <c r="J14" i="7" s="1"/>
  <c r="AB13" i="7"/>
  <c r="AA13" i="7"/>
  <c r="X13" i="7"/>
  <c r="W13" i="7"/>
  <c r="V13" i="7"/>
  <c r="T13" i="7"/>
  <c r="S13" i="7"/>
  <c r="M13" i="7"/>
  <c r="K13" i="7"/>
  <c r="I13" i="7"/>
  <c r="E13" i="7"/>
  <c r="B13" i="7"/>
  <c r="AB12" i="7"/>
  <c r="Y12" i="7"/>
  <c r="X12" i="7"/>
  <c r="W12" i="7"/>
  <c r="V12" i="7"/>
  <c r="T12" i="7"/>
  <c r="S12" i="7"/>
  <c r="R12" i="7"/>
  <c r="P12" i="7"/>
  <c r="O12" i="7"/>
  <c r="M12" i="7"/>
  <c r="L12" i="7"/>
  <c r="J12" i="7"/>
  <c r="H12" i="7"/>
  <c r="G12" i="7"/>
  <c r="F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Y8" i="7"/>
  <c r="V8" i="7"/>
  <c r="U8" i="7"/>
  <c r="T8" i="7"/>
  <c r="R8" i="7"/>
  <c r="Q8" i="7"/>
  <c r="N8" i="7"/>
  <c r="M8" i="7"/>
  <c r="L8" i="7"/>
  <c r="K8" i="7"/>
  <c r="J8" i="7"/>
  <c r="H8" i="7"/>
  <c r="G8" i="7"/>
  <c r="E8" i="7"/>
  <c r="D8" i="7"/>
  <c r="B8" i="7"/>
  <c r="Z8" i="7" s="1"/>
  <c r="AB7" i="7"/>
  <c r="AA7" i="7"/>
  <c r="Y7" i="7"/>
  <c r="V7" i="7"/>
  <c r="U7" i="7"/>
  <c r="S7" i="7"/>
  <c r="R7" i="7"/>
  <c r="Q7" i="7"/>
  <c r="O7" i="7"/>
  <c r="N7" i="7"/>
  <c r="M7" i="7"/>
  <c r="K7" i="7"/>
  <c r="J7" i="7"/>
  <c r="H7" i="7"/>
  <c r="F7" i="7"/>
  <c r="E7" i="7"/>
  <c r="D7" i="7"/>
  <c r="B7" i="7"/>
  <c r="Z7" i="7" s="1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S3" i="7"/>
  <c r="O3" i="7"/>
  <c r="N3" i="7"/>
  <c r="M3" i="7"/>
  <c r="L3" i="7"/>
  <c r="K3" i="7"/>
  <c r="J3" i="7"/>
  <c r="H3" i="7"/>
  <c r="G3" i="7"/>
  <c r="B3" i="7"/>
  <c r="T3" i="7" s="1"/>
  <c r="Z2" i="7"/>
  <c r="Q2" i="7"/>
  <c r="I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Z17" i="6"/>
  <c r="X17" i="6"/>
  <c r="W17" i="6"/>
  <c r="C17" i="6"/>
  <c r="B17" i="6"/>
  <c r="AA17" i="6" s="1"/>
  <c r="E16" i="6"/>
  <c r="D16" i="6"/>
  <c r="C16" i="6"/>
  <c r="B16" i="6"/>
  <c r="AB15" i="6"/>
  <c r="W15" i="6"/>
  <c r="T15" i="6"/>
  <c r="L15" i="6"/>
  <c r="I15" i="6"/>
  <c r="H15" i="6"/>
  <c r="G15" i="6"/>
  <c r="E15" i="6"/>
  <c r="D15" i="6"/>
  <c r="C15" i="6"/>
  <c r="B15" i="6"/>
  <c r="B14" i="6"/>
  <c r="F14" i="6" s="1"/>
  <c r="B13" i="6"/>
  <c r="T13" i="6" s="1"/>
  <c r="W12" i="6"/>
  <c r="V12" i="6"/>
  <c r="U12" i="6"/>
  <c r="S12" i="6"/>
  <c r="R12" i="6"/>
  <c r="P12" i="6"/>
  <c r="B12" i="6"/>
  <c r="AB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O6" i="6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T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U17" i="5"/>
  <c r="R17" i="5"/>
  <c r="Q17" i="5"/>
  <c r="P17" i="5"/>
  <c r="L17" i="5"/>
  <c r="K17" i="5"/>
  <c r="D17" i="5"/>
  <c r="B17" i="5"/>
  <c r="J17" i="5" s="1"/>
  <c r="B16" i="5"/>
  <c r="W15" i="5"/>
  <c r="Q15" i="5"/>
  <c r="N15" i="5"/>
  <c r="M15" i="5"/>
  <c r="L15" i="5"/>
  <c r="J15" i="5"/>
  <c r="H15" i="5"/>
  <c r="G15" i="5"/>
  <c r="F15" i="5"/>
  <c r="B15" i="5"/>
  <c r="Z15" i="5" s="1"/>
  <c r="B14" i="5"/>
  <c r="D14" i="5" s="1"/>
  <c r="X13" i="5"/>
  <c r="R13" i="5"/>
  <c r="M13" i="5"/>
  <c r="J13" i="5"/>
  <c r="I13" i="5"/>
  <c r="H13" i="5"/>
  <c r="G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D2" i="5"/>
  <c r="B2" i="5"/>
  <c r="C2" i="5" s="1"/>
  <c r="B2" i="1"/>
  <c r="W2" i="10" l="1"/>
  <c r="V2" i="10"/>
  <c r="N2" i="10"/>
  <c r="N7" i="5"/>
  <c r="U3" i="5"/>
  <c r="N6" i="6"/>
  <c r="O12" i="6"/>
  <c r="Y13" i="6"/>
  <c r="X15" i="6"/>
  <c r="S15" i="6"/>
  <c r="P15" i="6"/>
  <c r="AA15" i="6"/>
  <c r="V17" i="6"/>
  <c r="Y14" i="7"/>
  <c r="W15" i="7"/>
  <c r="N2" i="8"/>
  <c r="I13" i="8"/>
  <c r="H14" i="8"/>
  <c r="H15" i="8"/>
  <c r="R7" i="9"/>
  <c r="U8" i="9"/>
  <c r="K3" i="11"/>
  <c r="P6" i="11"/>
  <c r="AA7" i="12"/>
  <c r="P7" i="12"/>
  <c r="I7" i="12"/>
  <c r="M8" i="12"/>
  <c r="X15" i="12"/>
  <c r="J15" i="12"/>
  <c r="AA15" i="12"/>
  <c r="C15" i="12"/>
  <c r="W15" i="12"/>
  <c r="S7" i="13"/>
  <c r="O13" i="13"/>
  <c r="U6" i="14"/>
  <c r="W6" i="14"/>
  <c r="T6" i="14"/>
  <c r="Q6" i="14"/>
  <c r="O6" i="14"/>
  <c r="J6" i="14"/>
  <c r="F6" i="14"/>
  <c r="M7" i="14"/>
  <c r="AA15" i="7"/>
  <c r="R14" i="14"/>
  <c r="K2" i="16"/>
  <c r="J2" i="18"/>
  <c r="C15" i="18"/>
  <c r="AB15" i="18"/>
  <c r="AA15" i="18"/>
  <c r="Y15" i="18"/>
  <c r="X15" i="18"/>
  <c r="W15" i="18"/>
  <c r="S15" i="18"/>
  <c r="M15" i="18"/>
  <c r="K15" i="18"/>
  <c r="J15" i="18"/>
  <c r="E15" i="18"/>
  <c r="L3" i="5"/>
  <c r="K13" i="5"/>
  <c r="K15" i="5"/>
  <c r="O17" i="5"/>
  <c r="T12" i="6"/>
  <c r="E14" i="6"/>
  <c r="F15" i="6"/>
  <c r="C15" i="7"/>
  <c r="AB15" i="7"/>
  <c r="S2" i="8"/>
  <c r="M13" i="8"/>
  <c r="L14" i="8"/>
  <c r="M15" i="8"/>
  <c r="X7" i="9"/>
  <c r="C13" i="9"/>
  <c r="E2" i="10"/>
  <c r="G8" i="10"/>
  <c r="X14" i="10"/>
  <c r="O14" i="10"/>
  <c r="H14" i="10"/>
  <c r="AB14" i="10"/>
  <c r="E14" i="10"/>
  <c r="X15" i="10"/>
  <c r="L15" i="10"/>
  <c r="D15" i="10"/>
  <c r="Z15" i="10"/>
  <c r="R3" i="11"/>
  <c r="G7" i="12"/>
  <c r="V8" i="12"/>
  <c r="T13" i="13"/>
  <c r="S14" i="14"/>
  <c r="E3" i="15"/>
  <c r="Q2" i="16"/>
  <c r="K2" i="18"/>
  <c r="D15" i="18"/>
  <c r="F2" i="10"/>
  <c r="I8" i="10"/>
  <c r="AB6" i="13"/>
  <c r="P6" i="13"/>
  <c r="K6" i="13"/>
  <c r="AB12" i="13"/>
  <c r="V12" i="13"/>
  <c r="U12" i="13"/>
  <c r="R12" i="13"/>
  <c r="D12" i="13"/>
  <c r="U13" i="13"/>
  <c r="AB14" i="14"/>
  <c r="I3" i="15"/>
  <c r="T2" i="16"/>
  <c r="Z2" i="17"/>
  <c r="W2" i="17"/>
  <c r="J2" i="17"/>
  <c r="I2" i="17"/>
  <c r="G2" i="17"/>
  <c r="F2" i="17"/>
  <c r="P2" i="18"/>
  <c r="AB6" i="18"/>
  <c r="AA6" i="18"/>
  <c r="X6" i="18"/>
  <c r="W6" i="18"/>
  <c r="Q6" i="18"/>
  <c r="O6" i="18"/>
  <c r="K6" i="18"/>
  <c r="J6" i="18"/>
  <c r="I6" i="18"/>
  <c r="Q15" i="18"/>
  <c r="D14" i="6"/>
  <c r="AA6" i="7"/>
  <c r="K6" i="7"/>
  <c r="F6" i="7"/>
  <c r="D13" i="9"/>
  <c r="N3" i="5"/>
  <c r="I7" i="5"/>
  <c r="C8" i="6"/>
  <c r="H14" i="6"/>
  <c r="N17" i="6"/>
  <c r="L17" i="6"/>
  <c r="H17" i="6"/>
  <c r="H6" i="7"/>
  <c r="E15" i="7"/>
  <c r="O13" i="8"/>
  <c r="O14" i="8"/>
  <c r="AB7" i="9"/>
  <c r="M13" i="9"/>
  <c r="G2" i="10"/>
  <c r="K8" i="10"/>
  <c r="AB8" i="11"/>
  <c r="S8" i="11"/>
  <c r="P8" i="11"/>
  <c r="S14" i="11"/>
  <c r="R14" i="11"/>
  <c r="K14" i="11"/>
  <c r="H14" i="11"/>
  <c r="G17" i="12"/>
  <c r="G6" i="13"/>
  <c r="H12" i="13"/>
  <c r="V13" i="13"/>
  <c r="X15" i="14"/>
  <c r="R15" i="14"/>
  <c r="Q15" i="14"/>
  <c r="N15" i="14"/>
  <c r="L15" i="14"/>
  <c r="G15" i="14"/>
  <c r="AA15" i="14"/>
  <c r="D15" i="14"/>
  <c r="J3" i="15"/>
  <c r="L2" i="17"/>
  <c r="Z3" i="18"/>
  <c r="H3" i="18"/>
  <c r="D3" i="18"/>
  <c r="Y3" i="18"/>
  <c r="V3" i="18"/>
  <c r="S3" i="18"/>
  <c r="R3" i="18"/>
  <c r="Q3" i="18"/>
  <c r="M3" i="18"/>
  <c r="K3" i="18"/>
  <c r="E6" i="18"/>
  <c r="Z15" i="18"/>
  <c r="I6" i="7"/>
  <c r="S3" i="5"/>
  <c r="U7" i="5"/>
  <c r="Y13" i="5"/>
  <c r="O15" i="5"/>
  <c r="S17" i="5"/>
  <c r="E8" i="6"/>
  <c r="Y12" i="6"/>
  <c r="J14" i="6"/>
  <c r="J15" i="6"/>
  <c r="D17" i="6"/>
  <c r="N6" i="7"/>
  <c r="D14" i="7"/>
  <c r="R13" i="8"/>
  <c r="R14" i="8"/>
  <c r="Y15" i="8"/>
  <c r="D8" i="11"/>
  <c r="P3" i="12"/>
  <c r="G3" i="12"/>
  <c r="C12" i="12"/>
  <c r="J6" i="13"/>
  <c r="J12" i="13"/>
  <c r="C17" i="13"/>
  <c r="E15" i="14"/>
  <c r="X2" i="15"/>
  <c r="I2" i="15"/>
  <c r="H2" i="15"/>
  <c r="E2" i="15"/>
  <c r="AB2" i="15"/>
  <c r="C2" i="15"/>
  <c r="V2" i="15"/>
  <c r="U2" i="15"/>
  <c r="Q2" i="15"/>
  <c r="L3" i="15"/>
  <c r="I3" i="18"/>
  <c r="AB2" i="16"/>
  <c r="Y2" i="16"/>
  <c r="X2" i="16"/>
  <c r="W2" i="16"/>
  <c r="U2" i="16"/>
  <c r="P2" i="16"/>
  <c r="D8" i="6"/>
  <c r="K3" i="15"/>
  <c r="Y2" i="7"/>
  <c r="L2" i="7"/>
  <c r="H2" i="7"/>
  <c r="G15" i="7"/>
  <c r="W2" i="8"/>
  <c r="C8" i="9"/>
  <c r="S13" i="9"/>
  <c r="J2" i="10"/>
  <c r="E14" i="11"/>
  <c r="T3" i="5"/>
  <c r="V7" i="5"/>
  <c r="Z13" i="5"/>
  <c r="P15" i="5"/>
  <c r="T17" i="5"/>
  <c r="G8" i="6"/>
  <c r="K14" i="6"/>
  <c r="K15" i="6"/>
  <c r="E17" i="6"/>
  <c r="G2" i="7"/>
  <c r="O6" i="7"/>
  <c r="P7" i="7"/>
  <c r="P8" i="7"/>
  <c r="F14" i="7"/>
  <c r="H15" i="7"/>
  <c r="Z2" i="8"/>
  <c r="T13" i="8"/>
  <c r="S14" i="8"/>
  <c r="E8" i="9"/>
  <c r="W13" i="9"/>
  <c r="U14" i="9"/>
  <c r="W17" i="9"/>
  <c r="K2" i="10"/>
  <c r="I14" i="10"/>
  <c r="H15" i="10"/>
  <c r="E8" i="11"/>
  <c r="T12" i="11"/>
  <c r="F14" i="11"/>
  <c r="F3" i="12"/>
  <c r="W7" i="12"/>
  <c r="H12" i="12"/>
  <c r="M15" i="12"/>
  <c r="M6" i="13"/>
  <c r="L12" i="13"/>
  <c r="E17" i="13"/>
  <c r="R6" i="14"/>
  <c r="F15" i="14"/>
  <c r="D2" i="15"/>
  <c r="M3" i="15"/>
  <c r="J3" i="18"/>
  <c r="AA7" i="19"/>
  <c r="U7" i="19"/>
  <c r="R7" i="19"/>
  <c r="M7" i="19"/>
  <c r="H7" i="19"/>
  <c r="G7" i="19"/>
  <c r="F7" i="19"/>
  <c r="C7" i="19"/>
  <c r="W2" i="18"/>
  <c r="Z2" i="18"/>
  <c r="Y2" i="18"/>
  <c r="X2" i="18"/>
  <c r="V2" i="18"/>
  <c r="U2" i="18"/>
  <c r="S2" i="18"/>
  <c r="R2" i="18"/>
  <c r="O2" i="18"/>
  <c r="N2" i="18"/>
  <c r="M2" i="18"/>
  <c r="L2" i="18"/>
  <c r="G2" i="18"/>
  <c r="F2" i="18"/>
  <c r="Q8" i="10"/>
  <c r="Z8" i="10"/>
  <c r="M3" i="5"/>
  <c r="X7" i="5"/>
  <c r="P6" i="7"/>
  <c r="X7" i="15"/>
  <c r="I7" i="15"/>
  <c r="H7" i="15"/>
  <c r="AB7" i="15"/>
  <c r="E7" i="15"/>
  <c r="Z7" i="15"/>
  <c r="C7" i="15"/>
  <c r="W7" i="15"/>
  <c r="U7" i="15"/>
  <c r="T7" i="15"/>
  <c r="Q7" i="15"/>
  <c r="V3" i="5"/>
  <c r="Y7" i="5"/>
  <c r="O14" i="5"/>
  <c r="R15" i="5"/>
  <c r="V17" i="5"/>
  <c r="I8" i="6"/>
  <c r="G13" i="6"/>
  <c r="M14" i="6"/>
  <c r="M15" i="6"/>
  <c r="G17" i="6"/>
  <c r="K2" i="7"/>
  <c r="Q6" i="7"/>
  <c r="I14" i="7"/>
  <c r="J15" i="7"/>
  <c r="V13" i="8"/>
  <c r="U14" i="8"/>
  <c r="C7" i="9"/>
  <c r="G8" i="9"/>
  <c r="Y13" i="9"/>
  <c r="W14" i="9"/>
  <c r="M2" i="10"/>
  <c r="K14" i="10"/>
  <c r="K15" i="10"/>
  <c r="J8" i="11"/>
  <c r="I14" i="11"/>
  <c r="J3" i="12"/>
  <c r="AB12" i="12"/>
  <c r="Z6" i="13"/>
  <c r="O12" i="13"/>
  <c r="I15" i="14"/>
  <c r="G2" i="15"/>
  <c r="Q3" i="15"/>
  <c r="D7" i="15"/>
  <c r="AB14" i="16"/>
  <c r="Y14" i="16"/>
  <c r="J14" i="16"/>
  <c r="C14" i="16"/>
  <c r="P3" i="18"/>
  <c r="C2" i="10"/>
  <c r="H14" i="7"/>
  <c r="N3" i="15"/>
  <c r="Z7" i="5"/>
  <c r="V14" i="5"/>
  <c r="S15" i="5"/>
  <c r="W17" i="5"/>
  <c r="J8" i="6"/>
  <c r="H13" i="6"/>
  <c r="N14" i="6"/>
  <c r="N15" i="6"/>
  <c r="J17" i="6"/>
  <c r="M2" i="7"/>
  <c r="R6" i="7"/>
  <c r="Z13" i="7"/>
  <c r="R13" i="7"/>
  <c r="N13" i="7"/>
  <c r="K15" i="7"/>
  <c r="AB17" i="7"/>
  <c r="G17" i="7"/>
  <c r="D17" i="7"/>
  <c r="W13" i="8"/>
  <c r="V14" i="8"/>
  <c r="I8" i="9"/>
  <c r="X12" i="9"/>
  <c r="S12" i="9"/>
  <c r="Z13" i="9"/>
  <c r="P2" i="10"/>
  <c r="L14" i="10"/>
  <c r="M15" i="10"/>
  <c r="G2" i="11"/>
  <c r="K8" i="11"/>
  <c r="J14" i="11"/>
  <c r="K3" i="12"/>
  <c r="Z7" i="12"/>
  <c r="P15" i="12"/>
  <c r="AA6" i="13"/>
  <c r="S12" i="13"/>
  <c r="Z6" i="14"/>
  <c r="J15" i="14"/>
  <c r="J2" i="15"/>
  <c r="U3" i="15"/>
  <c r="F7" i="15"/>
  <c r="F14" i="16"/>
  <c r="W3" i="18"/>
  <c r="C8" i="10"/>
  <c r="Z14" i="7"/>
  <c r="U14" i="7"/>
  <c r="R14" i="7"/>
  <c r="N8" i="10"/>
  <c r="AA7" i="5"/>
  <c r="W14" i="5"/>
  <c r="O15" i="6"/>
  <c r="N2" i="7"/>
  <c r="L3" i="12"/>
  <c r="Y7" i="13"/>
  <c r="L7" i="13"/>
  <c r="I7" i="13"/>
  <c r="F7" i="13"/>
  <c r="Z7" i="13"/>
  <c r="T12" i="13"/>
  <c r="K15" i="14"/>
  <c r="K2" i="15"/>
  <c r="W3" i="15"/>
  <c r="G7" i="15"/>
  <c r="U12" i="15"/>
  <c r="M12" i="15"/>
  <c r="L12" i="15"/>
  <c r="J12" i="15"/>
  <c r="I12" i="15"/>
  <c r="G12" i="15"/>
  <c r="C12" i="15"/>
  <c r="AA12" i="15"/>
  <c r="Z12" i="15"/>
  <c r="V12" i="15"/>
  <c r="G14" i="16"/>
  <c r="C14" i="6"/>
  <c r="Y7" i="9"/>
  <c r="V7" i="9"/>
  <c r="S7" i="9"/>
  <c r="X13" i="9"/>
  <c r="L2" i="10"/>
  <c r="X17" i="5"/>
  <c r="U8" i="6"/>
  <c r="I13" i="6"/>
  <c r="O14" i="6"/>
  <c r="K17" i="6"/>
  <c r="S6" i="7"/>
  <c r="L14" i="7"/>
  <c r="L15" i="7"/>
  <c r="X13" i="8"/>
  <c r="W14" i="8"/>
  <c r="F7" i="9"/>
  <c r="K8" i="9"/>
  <c r="AA13" i="9"/>
  <c r="U2" i="10"/>
  <c r="U15" i="5"/>
  <c r="K13" i="6"/>
  <c r="P14" i="6"/>
  <c r="M17" i="6"/>
  <c r="O2" i="7"/>
  <c r="U6" i="7"/>
  <c r="F13" i="7"/>
  <c r="M14" i="7"/>
  <c r="E17" i="7"/>
  <c r="AA13" i="8"/>
  <c r="X14" i="9"/>
  <c r="H14" i="9"/>
  <c r="AB14" i="9"/>
  <c r="E14" i="9"/>
  <c r="AA14" i="9"/>
  <c r="X2" i="10"/>
  <c r="C6" i="10"/>
  <c r="G12" i="10"/>
  <c r="N14" i="10"/>
  <c r="O15" i="10"/>
  <c r="N2" i="11"/>
  <c r="U8" i="12"/>
  <c r="Q8" i="12"/>
  <c r="K14" i="12"/>
  <c r="C7" i="13"/>
  <c r="W12" i="13"/>
  <c r="Z7" i="14"/>
  <c r="X7" i="14"/>
  <c r="W7" i="14"/>
  <c r="R7" i="14"/>
  <c r="O7" i="14"/>
  <c r="J7" i="14"/>
  <c r="G7" i="14"/>
  <c r="M15" i="14"/>
  <c r="L2" i="15"/>
  <c r="J7" i="15"/>
  <c r="D12" i="15"/>
  <c r="C6" i="17"/>
  <c r="M6" i="17"/>
  <c r="P3" i="15"/>
  <c r="G3" i="15"/>
  <c r="F3" i="15"/>
  <c r="C3" i="15"/>
  <c r="Y3" i="15"/>
  <c r="X3" i="15"/>
  <c r="T3" i="15"/>
  <c r="X15" i="7"/>
  <c r="R15" i="7"/>
  <c r="O15" i="7"/>
  <c r="D3" i="15"/>
  <c r="Q3" i="5"/>
  <c r="I14" i="6"/>
  <c r="H8" i="6"/>
  <c r="AA12" i="12"/>
  <c r="T15" i="5"/>
  <c r="O2" i="8"/>
  <c r="D2" i="8"/>
  <c r="N8" i="11"/>
  <c r="L14" i="11"/>
  <c r="AB7" i="5"/>
  <c r="Y14" i="5"/>
  <c r="Y17" i="5"/>
  <c r="Q15" i="6"/>
  <c r="Y14" i="8"/>
  <c r="G7" i="9"/>
  <c r="L8" i="9"/>
  <c r="AA6" i="11"/>
  <c r="O6" i="11"/>
  <c r="J6" i="11"/>
  <c r="O8" i="11"/>
  <c r="M14" i="11"/>
  <c r="C17" i="11"/>
  <c r="M3" i="12"/>
  <c r="Z14" i="5"/>
  <c r="V15" i="5"/>
  <c r="M13" i="6"/>
  <c r="Q14" i="6"/>
  <c r="R15" i="6"/>
  <c r="O17" i="6"/>
  <c r="P2" i="7"/>
  <c r="V6" i="7"/>
  <c r="W7" i="7"/>
  <c r="W8" i="7"/>
  <c r="N12" i="7"/>
  <c r="K12" i="7"/>
  <c r="H13" i="7"/>
  <c r="N14" i="7"/>
  <c r="N15" i="7"/>
  <c r="F17" i="7"/>
  <c r="F2" i="8"/>
  <c r="Z14" i="8"/>
  <c r="S3" i="9"/>
  <c r="I7" i="9"/>
  <c r="M8" i="9"/>
  <c r="E12" i="9"/>
  <c r="C14" i="9"/>
  <c r="AA15" i="9"/>
  <c r="M15" i="9"/>
  <c r="Y2" i="10"/>
  <c r="E6" i="10"/>
  <c r="Z12" i="10"/>
  <c r="P14" i="10"/>
  <c r="P15" i="10"/>
  <c r="C6" i="11"/>
  <c r="Q8" i="11"/>
  <c r="N14" i="11"/>
  <c r="D17" i="11"/>
  <c r="N3" i="12"/>
  <c r="C8" i="12"/>
  <c r="L14" i="12"/>
  <c r="S15" i="12"/>
  <c r="D7" i="13"/>
  <c r="X12" i="13"/>
  <c r="J3" i="14"/>
  <c r="I3" i="14"/>
  <c r="E3" i="14"/>
  <c r="C3" i="14"/>
  <c r="X3" i="14"/>
  <c r="U3" i="14"/>
  <c r="C7" i="14"/>
  <c r="O15" i="14"/>
  <c r="M2" i="15"/>
  <c r="AA3" i="15"/>
  <c r="K7" i="15"/>
  <c r="H12" i="15"/>
  <c r="E6" i="17"/>
  <c r="AA14" i="5"/>
  <c r="N13" i="6"/>
  <c r="S13" i="8"/>
  <c r="P13" i="8"/>
  <c r="AA14" i="8"/>
  <c r="J7" i="9"/>
  <c r="W13" i="13"/>
  <c r="X13" i="13"/>
  <c r="P13" i="13"/>
  <c r="M13" i="13"/>
  <c r="L7" i="15"/>
  <c r="AB17" i="17"/>
  <c r="AA17" i="17"/>
  <c r="Z17" i="17"/>
  <c r="Y17" i="17"/>
  <c r="X17" i="17"/>
  <c r="W17" i="17"/>
  <c r="U17" i="17"/>
  <c r="Q17" i="17"/>
  <c r="O17" i="17"/>
  <c r="M17" i="17"/>
  <c r="L17" i="17"/>
  <c r="U14" i="6"/>
  <c r="W14" i="6"/>
  <c r="R14" i="6"/>
  <c r="P17" i="6"/>
  <c r="O14" i="7"/>
  <c r="Z2" i="10"/>
  <c r="M3" i="11"/>
  <c r="J3" i="11"/>
  <c r="R8" i="11"/>
  <c r="G12" i="5"/>
  <c r="AB14" i="5"/>
  <c r="Y15" i="5"/>
  <c r="O13" i="6"/>
  <c r="T14" i="6"/>
  <c r="U15" i="6"/>
  <c r="Q17" i="6"/>
  <c r="R2" i="7"/>
  <c r="X6" i="7"/>
  <c r="J13" i="7"/>
  <c r="Q14" i="7"/>
  <c r="Q15" i="7"/>
  <c r="I17" i="7"/>
  <c r="H2" i="8"/>
  <c r="E6" i="8"/>
  <c r="C13" i="8"/>
  <c r="C14" i="8"/>
  <c r="AB14" i="8"/>
  <c r="L7" i="9"/>
  <c r="O8" i="9"/>
  <c r="J12" i="9"/>
  <c r="F14" i="9"/>
  <c r="AA2" i="10"/>
  <c r="J6" i="10"/>
  <c r="R14" i="10"/>
  <c r="R15" i="10"/>
  <c r="C3" i="11"/>
  <c r="G6" i="11"/>
  <c r="T8" i="11"/>
  <c r="P14" i="11"/>
  <c r="O17" i="11"/>
  <c r="U3" i="12"/>
  <c r="F8" i="12"/>
  <c r="R14" i="12"/>
  <c r="V15" i="12"/>
  <c r="G7" i="13"/>
  <c r="F13" i="13"/>
  <c r="E7" i="14"/>
  <c r="E12" i="14"/>
  <c r="S15" i="14"/>
  <c r="O2" i="15"/>
  <c r="M7" i="15"/>
  <c r="N12" i="15"/>
  <c r="L6" i="17"/>
  <c r="E17" i="17"/>
  <c r="F8" i="9"/>
  <c r="X12" i="6"/>
  <c r="N12" i="6"/>
  <c r="J12" i="6"/>
  <c r="Q13" i="6"/>
  <c r="X14" i="6"/>
  <c r="V15" i="6"/>
  <c r="R17" i="6"/>
  <c r="S2" i="7"/>
  <c r="Z6" i="7"/>
  <c r="S14" i="7"/>
  <c r="S15" i="7"/>
  <c r="I2" i="8"/>
  <c r="F6" i="8"/>
  <c r="E13" i="8"/>
  <c r="D14" i="8"/>
  <c r="Z15" i="8"/>
  <c r="N15" i="8"/>
  <c r="K15" i="8"/>
  <c r="M7" i="9"/>
  <c r="P8" i="9"/>
  <c r="Z17" i="9"/>
  <c r="K17" i="9"/>
  <c r="L6" i="10"/>
  <c r="S14" i="10"/>
  <c r="T15" i="10"/>
  <c r="D3" i="11"/>
  <c r="H6" i="11"/>
  <c r="X8" i="11"/>
  <c r="Q14" i="11"/>
  <c r="AB17" i="11"/>
  <c r="Y3" i="12"/>
  <c r="G8" i="12"/>
  <c r="V14" i="12"/>
  <c r="Y15" i="12"/>
  <c r="H7" i="13"/>
  <c r="G13" i="13"/>
  <c r="H7" i="14"/>
  <c r="T15" i="14"/>
  <c r="P2" i="15"/>
  <c r="N7" i="15"/>
  <c r="O12" i="15"/>
  <c r="Z6" i="16"/>
  <c r="S6" i="16"/>
  <c r="Q6" i="16"/>
  <c r="O6" i="16"/>
  <c r="N6" i="16"/>
  <c r="M6" i="16"/>
  <c r="K6" i="16"/>
  <c r="I6" i="16"/>
  <c r="H6" i="16"/>
  <c r="G6" i="16"/>
  <c r="F6" i="16"/>
  <c r="Q6" i="17"/>
  <c r="R17" i="17"/>
  <c r="F15" i="7"/>
  <c r="P6" i="6"/>
  <c r="M6" i="6"/>
  <c r="X15" i="5"/>
  <c r="I15" i="5"/>
  <c r="I6" i="6"/>
  <c r="AB6" i="7"/>
  <c r="T14" i="7"/>
  <c r="T14" i="11"/>
  <c r="H13" i="13"/>
  <c r="AB13" i="14"/>
  <c r="S13" i="14"/>
  <c r="R13" i="14"/>
  <c r="K13" i="14"/>
  <c r="E13" i="14"/>
  <c r="U15" i="14"/>
  <c r="O7" i="15"/>
  <c r="X7" i="17"/>
  <c r="V7" i="17"/>
  <c r="T7" i="17"/>
  <c r="S7" i="17"/>
  <c r="R7" i="17"/>
  <c r="P7" i="17"/>
  <c r="O7" i="17"/>
  <c r="K7" i="17"/>
  <c r="J7" i="17"/>
  <c r="G7" i="17"/>
  <c r="F7" i="17"/>
  <c r="E7" i="17"/>
  <c r="D7" i="17"/>
  <c r="S14" i="6"/>
  <c r="X14" i="8"/>
  <c r="P14" i="8"/>
  <c r="M14" i="8"/>
  <c r="K2" i="8"/>
  <c r="D13" i="5"/>
  <c r="D15" i="5"/>
  <c r="AB15" i="5"/>
  <c r="K6" i="6"/>
  <c r="K12" i="6"/>
  <c r="AA14" i="6"/>
  <c r="Y15" i="6"/>
  <c r="T17" i="6"/>
  <c r="X8" i="7"/>
  <c r="I8" i="7"/>
  <c r="F8" i="7"/>
  <c r="V14" i="7"/>
  <c r="P6" i="8"/>
  <c r="F14" i="8"/>
  <c r="W12" i="9"/>
  <c r="F17" i="9"/>
  <c r="U14" i="10"/>
  <c r="V15" i="10"/>
  <c r="H3" i="11"/>
  <c r="K6" i="11"/>
  <c r="F12" i="11"/>
  <c r="Y12" i="11"/>
  <c r="U14" i="11"/>
  <c r="AA3" i="12"/>
  <c r="F6" i="12"/>
  <c r="I8" i="12"/>
  <c r="X14" i="12"/>
  <c r="AB15" i="12"/>
  <c r="N7" i="13"/>
  <c r="K13" i="13"/>
  <c r="K7" i="14"/>
  <c r="G13" i="14"/>
  <c r="V15" i="14"/>
  <c r="S2" i="15"/>
  <c r="P7" i="15"/>
  <c r="Q12" i="15"/>
  <c r="J6" i="16"/>
  <c r="H7" i="17"/>
  <c r="D2" i="16"/>
  <c r="D2" i="10"/>
  <c r="D15" i="7"/>
  <c r="W8" i="9"/>
  <c r="X8" i="9"/>
  <c r="S8" i="9"/>
  <c r="H2" i="10"/>
  <c r="AB13" i="6"/>
  <c r="S13" i="6"/>
  <c r="P13" i="6"/>
  <c r="L14" i="6"/>
  <c r="F17" i="6"/>
  <c r="I15" i="7"/>
  <c r="W6" i="7"/>
  <c r="P15" i="7"/>
  <c r="N8" i="9"/>
  <c r="C15" i="5"/>
  <c r="AA15" i="5"/>
  <c r="J6" i="6"/>
  <c r="D12" i="6"/>
  <c r="R13" i="6"/>
  <c r="Y14" i="6"/>
  <c r="S17" i="6"/>
  <c r="T15" i="7"/>
  <c r="O6" i="8"/>
  <c r="F13" i="8"/>
  <c r="N7" i="9"/>
  <c r="Q8" i="9"/>
  <c r="E3" i="11"/>
  <c r="X3" i="7"/>
  <c r="U3" i="7"/>
  <c r="P3" i="7"/>
  <c r="G7" i="7"/>
  <c r="L7" i="7"/>
  <c r="I7" i="7"/>
  <c r="O13" i="7"/>
  <c r="U15" i="7"/>
  <c r="L17" i="7"/>
  <c r="L2" i="8"/>
  <c r="G13" i="8"/>
  <c r="F15" i="8"/>
  <c r="P7" i="9"/>
  <c r="J14" i="9"/>
  <c r="Y6" i="10"/>
  <c r="K6" i="5"/>
  <c r="F13" i="5"/>
  <c r="E15" i="5"/>
  <c r="C2" i="6"/>
  <c r="Z2" i="6"/>
  <c r="L6" i="6"/>
  <c r="L12" i="6"/>
  <c r="V13" i="6"/>
  <c r="AB14" i="6"/>
  <c r="Z15" i="6"/>
  <c r="U17" i="6"/>
  <c r="F3" i="7"/>
  <c r="C7" i="7"/>
  <c r="C8" i="7"/>
  <c r="Q13" i="7"/>
  <c r="X14" i="7"/>
  <c r="V15" i="7"/>
  <c r="M17" i="7"/>
  <c r="M2" i="8"/>
  <c r="W12" i="8"/>
  <c r="T12" i="8"/>
  <c r="H13" i="8"/>
  <c r="G14" i="8"/>
  <c r="G15" i="8"/>
  <c r="Q7" i="9"/>
  <c r="T8" i="9"/>
  <c r="Y12" i="9"/>
  <c r="K14" i="9"/>
  <c r="G17" i="9"/>
  <c r="AA6" i="10"/>
  <c r="V14" i="10"/>
  <c r="W15" i="10"/>
  <c r="I3" i="11"/>
  <c r="L6" i="11"/>
  <c r="C12" i="11"/>
  <c r="V14" i="11"/>
  <c r="J8" i="12"/>
  <c r="AB14" i="12"/>
  <c r="R7" i="13"/>
  <c r="N13" i="13"/>
  <c r="L7" i="14"/>
  <c r="N13" i="14"/>
  <c r="W15" i="14"/>
  <c r="Y2" i="15"/>
  <c r="R7" i="15"/>
  <c r="R12" i="15"/>
  <c r="L6" i="16"/>
  <c r="U7" i="17"/>
  <c r="X17" i="18"/>
  <c r="U17" i="18"/>
  <c r="S17" i="18"/>
  <c r="R17" i="18"/>
  <c r="Q17" i="18"/>
  <c r="P17" i="18"/>
  <c r="O17" i="18"/>
  <c r="N17" i="18"/>
  <c r="M17" i="18"/>
  <c r="L17" i="18"/>
  <c r="J17" i="18"/>
  <c r="G17" i="18"/>
  <c r="E17" i="18"/>
  <c r="D17" i="18"/>
  <c r="C17" i="18"/>
  <c r="AB17" i="18"/>
  <c r="AA17" i="18"/>
  <c r="Y17" i="18"/>
  <c r="W17" i="18"/>
  <c r="AB8" i="18"/>
  <c r="Y12" i="18"/>
  <c r="H2" i="19"/>
  <c r="K3" i="19"/>
  <c r="N6" i="19"/>
  <c r="M8" i="19"/>
  <c r="C12" i="19"/>
  <c r="K13" i="19"/>
  <c r="T14" i="19"/>
  <c r="Q12" i="17"/>
  <c r="C8" i="18"/>
  <c r="Z12" i="18"/>
  <c r="M2" i="19"/>
  <c r="M3" i="19"/>
  <c r="O6" i="19"/>
  <c r="N8" i="19"/>
  <c r="E12" i="19"/>
  <c r="L13" i="19"/>
  <c r="U14" i="19"/>
  <c r="N7" i="11"/>
  <c r="J2" i="13"/>
  <c r="L3" i="13"/>
  <c r="O14" i="13"/>
  <c r="N15" i="13"/>
  <c r="U2" i="14"/>
  <c r="T6" i="15"/>
  <c r="N8" i="15"/>
  <c r="T13" i="15"/>
  <c r="V15" i="15"/>
  <c r="F7" i="16"/>
  <c r="AB17" i="16"/>
  <c r="C8" i="17"/>
  <c r="R12" i="17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E3" i="8"/>
  <c r="R7" i="11"/>
  <c r="N2" i="13"/>
  <c r="P3" i="13"/>
  <c r="R14" i="13"/>
  <c r="Q15" i="13"/>
  <c r="Y2" i="14"/>
  <c r="W6" i="15"/>
  <c r="T8" i="15"/>
  <c r="Z13" i="15"/>
  <c r="I7" i="16"/>
  <c r="H8" i="17"/>
  <c r="U12" i="17"/>
  <c r="H15" i="17"/>
  <c r="G8" i="18"/>
  <c r="H13" i="18"/>
  <c r="R2" i="19"/>
  <c r="R3" i="19"/>
  <c r="R8" i="19"/>
  <c r="I12" i="19"/>
  <c r="Q13" i="19"/>
  <c r="C15" i="19"/>
  <c r="X6" i="15"/>
  <c r="W8" i="15"/>
  <c r="AA13" i="15"/>
  <c r="J7" i="16"/>
  <c r="J8" i="17"/>
  <c r="V12" i="17"/>
  <c r="I15" i="17"/>
  <c r="J8" i="18"/>
  <c r="P13" i="18"/>
  <c r="S2" i="19"/>
  <c r="S3" i="19"/>
  <c r="S8" i="19"/>
  <c r="J12" i="19"/>
  <c r="T13" i="19"/>
  <c r="E15" i="19"/>
  <c r="AB13" i="15"/>
  <c r="L7" i="16"/>
  <c r="N8" i="17"/>
  <c r="W12" i="17"/>
  <c r="N15" i="17"/>
  <c r="K8" i="18"/>
  <c r="U2" i="19"/>
  <c r="T3" i="19"/>
  <c r="T8" i="19"/>
  <c r="L12" i="19"/>
  <c r="V13" i="19"/>
  <c r="F15" i="19"/>
  <c r="Y8" i="15"/>
  <c r="C13" i="15"/>
  <c r="M7" i="16"/>
  <c r="O8" i="17"/>
  <c r="M8" i="18"/>
  <c r="V2" i="19"/>
  <c r="U3" i="19"/>
  <c r="V8" i="19"/>
  <c r="P12" i="19"/>
  <c r="W13" i="19"/>
  <c r="G15" i="19"/>
  <c r="Q12" i="19"/>
  <c r="J15" i="19"/>
  <c r="AA8" i="15"/>
  <c r="E13" i="15"/>
  <c r="E14" i="15"/>
  <c r="P7" i="16"/>
  <c r="Q8" i="17"/>
  <c r="AB12" i="17"/>
  <c r="O8" i="18"/>
  <c r="L14" i="18"/>
  <c r="X2" i="19"/>
  <c r="W3" i="19"/>
  <c r="Y8" i="19"/>
  <c r="R12" i="19"/>
  <c r="Z13" i="19"/>
  <c r="L15" i="19"/>
  <c r="C17" i="19"/>
  <c r="R8" i="17"/>
  <c r="P8" i="18"/>
  <c r="Q14" i="18"/>
  <c r="Z2" i="19"/>
  <c r="Y3" i="19"/>
  <c r="Z8" i="19"/>
  <c r="T12" i="19"/>
  <c r="AA13" i="19"/>
  <c r="M15" i="19"/>
  <c r="E17" i="19"/>
  <c r="Z7" i="11"/>
  <c r="X2" i="13"/>
  <c r="Z15" i="13"/>
  <c r="E6" i="15"/>
  <c r="G13" i="15"/>
  <c r="N14" i="15"/>
  <c r="O3" i="16"/>
  <c r="S7" i="16"/>
  <c r="C12" i="16"/>
  <c r="S8" i="17"/>
  <c r="C12" i="17"/>
  <c r="C13" i="17"/>
  <c r="Q8" i="18"/>
  <c r="R14" i="18"/>
  <c r="AB2" i="19"/>
  <c r="Z3" i="19"/>
  <c r="U12" i="19"/>
  <c r="O15" i="19"/>
  <c r="F17" i="19"/>
  <c r="H13" i="15"/>
  <c r="T7" i="16"/>
  <c r="I12" i="16"/>
  <c r="T8" i="17"/>
  <c r="R8" i="18"/>
  <c r="U14" i="18"/>
  <c r="AA3" i="19"/>
  <c r="AB8" i="19"/>
  <c r="V12" i="19"/>
  <c r="F14" i="19"/>
  <c r="P15" i="19"/>
  <c r="G17" i="19"/>
  <c r="S3" i="16"/>
  <c r="U7" i="16"/>
  <c r="K12" i="16"/>
  <c r="C17" i="16"/>
  <c r="U8" i="17"/>
  <c r="E12" i="17"/>
  <c r="N13" i="17"/>
  <c r="S8" i="18"/>
  <c r="V14" i="18"/>
  <c r="C3" i="19"/>
  <c r="AB3" i="19"/>
  <c r="C8" i="19"/>
  <c r="Y12" i="19"/>
  <c r="G14" i="19"/>
  <c r="Q15" i="19"/>
  <c r="M17" i="19"/>
  <c r="AB2" i="13"/>
  <c r="K6" i="15"/>
  <c r="D8" i="15"/>
  <c r="J13" i="15"/>
  <c r="L17" i="15"/>
  <c r="T3" i="16"/>
  <c r="V7" i="16"/>
  <c r="W12" i="16"/>
  <c r="D17" i="16"/>
  <c r="V8" i="17"/>
  <c r="F12" i="17"/>
  <c r="Q13" i="17"/>
  <c r="T8" i="18"/>
  <c r="X14" i="18"/>
  <c r="D3" i="19"/>
  <c r="D8" i="19"/>
  <c r="AA12" i="19"/>
  <c r="H14" i="19"/>
  <c r="W15" i="19"/>
  <c r="O17" i="19"/>
  <c r="E14" i="13"/>
  <c r="F15" i="13"/>
  <c r="E2" i="14"/>
  <c r="L6" i="15"/>
  <c r="K13" i="15"/>
  <c r="W17" i="15"/>
  <c r="X7" i="16"/>
  <c r="X12" i="16"/>
  <c r="G17" i="16"/>
  <c r="W8" i="17"/>
  <c r="G12" i="17"/>
  <c r="R13" i="17"/>
  <c r="U8" i="18"/>
  <c r="Y14" i="18"/>
  <c r="E3" i="19"/>
  <c r="E8" i="19"/>
  <c r="AB12" i="19"/>
  <c r="J14" i="19"/>
  <c r="Y15" i="19"/>
  <c r="Q17" i="19"/>
  <c r="K14" i="19"/>
  <c r="AA15" i="19"/>
  <c r="R17" i="19"/>
  <c r="AA8" i="17"/>
  <c r="I12" i="17"/>
  <c r="W8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<sst xmlns="http://schemas.openxmlformats.org/spreadsheetml/2006/main" count="3113" uniqueCount="587">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</sst>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166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UT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2.302419075263247E-2</v>
      </c>
      <c r="C2" s="7">
        <f>$B2 * IFERROR(VLOOKUP("transport|PM25|Premature mortality", US_national_yearly!$D:$AM, 11, FALSE) / VLOOKUP("transport|PM25|Premature mortality", US_national_yearly!$D:$AM, 10, FALSE), 1)</f>
        <v>2.3309640260770332E-2</v>
      </c>
      <c r="D2" s="7">
        <f>$B2 * IFERROR(VLOOKUP("transport|PM25|Premature mortality", US_national_yearly!$D:$AM, 12, FALSE) / VLOOKUP("transport|PM25|Premature mortality", US_national_yearly!$D:$AM, 10, FALSE), 1)</f>
        <v>2.359508976890819E-2</v>
      </c>
      <c r="E2" s="7">
        <f>$B2 * IFERROR(VLOOKUP("transport|PM25|Premature mortality", US_national_yearly!$D:$AM, 13, FALSE) / VLOOKUP("transport|PM25|Premature mortality", US_national_yearly!$D:$AM, 10, FALSE), 1)</f>
        <v>2.3880539277046049E-2</v>
      </c>
      <c r="F2" s="7">
        <f>$B2 * IFERROR(VLOOKUP("transport|PM25|Premature mortality", US_national_yearly!$D:$AM, 14, FALSE) / VLOOKUP("transport|PM25|Premature mortality", US_national_yearly!$D:$AM, 10, FALSE), 1)</f>
        <v>2.4165988785183907E-2</v>
      </c>
      <c r="G2" s="7">
        <f>$B2 * IFERROR(VLOOKUP("transport|PM25|Premature mortality", US_national_yearly!$D:$AM, 15, FALSE) / VLOOKUP("transport|PM25|Premature mortality", US_national_yearly!$D:$AM, 10, FALSE), 1)</f>
        <v>2.472189954947316E-2</v>
      </c>
      <c r="H2" s="7">
        <f>$B2 * IFERROR(VLOOKUP("transport|PM25|Premature mortality", US_national_yearly!$D:$AM, 16, FALSE) / VLOOKUP("transport|PM25|Premature mortality", US_national_yearly!$D:$AM, 10, FALSE), 1)</f>
        <v>2.5277810313762413E-2</v>
      </c>
      <c r="I2" s="7">
        <f>$B2 * IFERROR(VLOOKUP("transport|PM25|Premature mortality", US_national_yearly!$D:$AM, 17, FALSE) / VLOOKUP("transport|PM25|Premature mortality", US_national_yearly!$D:$AM, 10, FALSE), 1)</f>
        <v>2.5642955904886505E-2</v>
      </c>
      <c r="J2" s="7">
        <f>$B2 * IFERROR(VLOOKUP("transport|PM25|Premature mortality", US_national_yearly!$D:$AM, 18, FALSE) / VLOOKUP("transport|PM25|Premature mortality", US_national_yearly!$D:$AM, 10, FALSE), 1)</f>
        <v>2.6008101496010606E-2</v>
      </c>
      <c r="K2" s="7">
        <f>$B2 * IFERROR(VLOOKUP("transport|PM25|Premature mortality", US_national_yearly!$D:$AM, 19, FALSE) / VLOOKUP("transport|PM25|Premature mortality", US_national_yearly!$D:$AM, 10, FALSE), 1)</f>
        <v>2.6373247087134701E-2</v>
      </c>
      <c r="L2" s="7">
        <f>$B2 * IFERROR(VLOOKUP("transport|PM25|Premature mortality", US_national_yearly!$D:$AM, 20, FALSE) / VLOOKUP("transport|PM25|Premature mortality", US_national_yearly!$D:$AM, 10, FALSE), 1)</f>
        <v>2.6738392678258803E-2</v>
      </c>
      <c r="M2" s="7">
        <f>$B2 * IFERROR(VLOOKUP("transport|PM25|Premature mortality", US_national_yearly!$D:$AM, 21, FALSE) / VLOOKUP("transport|PM25|Premature mortality", US_national_yearly!$D:$AM, 10, FALSE), 1)</f>
        <v>2.7103538269382901E-2</v>
      </c>
      <c r="N2" s="7">
        <f>$B2 * IFERROR(VLOOKUP("transport|PM25|Premature mortality", US_national_yearly!$D:$AM, 22, FALSE) / VLOOKUP("transport|PM25|Premature mortality", US_national_yearly!$D:$AM, 10, FALSE), 1)</f>
        <v>2.738705058155037E-2</v>
      </c>
      <c r="O2" s="7">
        <f>$B2 * IFERROR(VLOOKUP("transport|PM25|Premature mortality", US_national_yearly!$D:$AM, 23, FALSE) / VLOOKUP("transport|PM25|Premature mortality", US_national_yearly!$D:$AM, 10, FALSE), 1)</f>
        <v>2.7670562893717839E-2</v>
      </c>
      <c r="P2" s="7">
        <f>$B2 * IFERROR(VLOOKUP("transport|PM25|Premature mortality", US_national_yearly!$D:$AM, 24, FALSE) / VLOOKUP("transport|PM25|Premature mortality", US_national_yearly!$D:$AM, 10, FALSE), 1)</f>
        <v>2.7954075205885307E-2</v>
      </c>
      <c r="Q2" s="7">
        <f>$B2 * IFERROR(VLOOKUP("transport|PM25|Premature mortality", US_national_yearly!$D:$AM, 25, FALSE) / VLOOKUP("transport|PM25|Premature mortality", US_national_yearly!$D:$AM, 10, FALSE), 1)</f>
        <v>2.8237587518052779E-2</v>
      </c>
      <c r="R2" s="7">
        <f>$B2 * IFERROR(VLOOKUP("transport|PM25|Premature mortality", US_national_yearly!$D:$AM, 26, FALSE) / VLOOKUP("transport|PM25|Premature mortality", US_national_yearly!$D:$AM, 10, FALSE), 1)</f>
        <v>2.8521099830220255E-2</v>
      </c>
      <c r="S2" s="7">
        <f>$B2 * IFERROR(VLOOKUP("transport|PM25|Premature mortality", US_national_yearly!$D:$AM, 27, FALSE) / VLOOKUP("transport|PM25|Premature mortality", US_national_yearly!$D:$AM, 10, FALSE), 1)</f>
        <v>2.8671296229775028E-2</v>
      </c>
      <c r="T2" s="7">
        <f>$B2 * IFERROR(VLOOKUP("transport|PM25|Premature mortality", US_national_yearly!$D:$AM, 28, FALSE) / VLOOKUP("transport|PM25|Premature mortality", US_national_yearly!$D:$AM, 10, FALSE), 1)</f>
        <v>2.8821492629329794E-2</v>
      </c>
      <c r="U2" s="7">
        <f>$B2 * IFERROR(VLOOKUP("transport|PM25|Premature mortality", US_national_yearly!$D:$AM, 29, FALSE) / VLOOKUP("transport|PM25|Premature mortality", US_national_yearly!$D:$AM, 10, FALSE), 1)</f>
        <v>2.8971689028884563E-2</v>
      </c>
      <c r="V2" s="7">
        <f>$B2 * IFERROR(VLOOKUP("transport|PM25|Premature mortality", US_national_yearly!$D:$AM, 30, FALSE) / VLOOKUP("transport|PM25|Premature mortality", US_national_yearly!$D:$AM, 10, FALSE), 1)</f>
        <v>2.9121885428439329E-2</v>
      </c>
      <c r="W2" s="7">
        <f>$B2 * IFERROR(VLOOKUP("transport|PM25|Premature mortality", US_national_yearly!$D:$AM, 31, FALSE) / VLOOKUP("transport|PM25|Premature mortality", US_national_yearly!$D:$AM, 10, FALSE), 1)</f>
        <v>2.9272081827994099E-2</v>
      </c>
      <c r="X2" s="7">
        <f>$B2 * IFERROR(VLOOKUP("transport|PM25|Premature mortality", US_national_yearly!$D:$AM, 32, FALSE) / VLOOKUP("transport|PM25|Premature mortality", US_national_yearly!$D:$AM, 10, FALSE), 1)</f>
        <v>2.9298344830305887E-2</v>
      </c>
      <c r="Y2" s="7">
        <f>$B2 * IFERROR(VLOOKUP("transport|PM25|Premature mortality", US_national_yearly!$D:$AM, 33, FALSE) / VLOOKUP("transport|PM25|Premature mortality", US_national_yearly!$D:$AM, 10, FALSE), 1)</f>
        <v>2.9324607832617679E-2</v>
      </c>
      <c r="Z2" s="7">
        <f>$B2 * IFERROR(VLOOKUP("transport|PM25|Premature mortality", US_national_yearly!$D:$AM, 34, FALSE) / VLOOKUP("transport|PM25|Premature mortality", US_national_yearly!$D:$AM, 10, FALSE), 1)</f>
        <v>2.935087083492947E-2</v>
      </c>
      <c r="AA2" s="7">
        <f>$B2 * IFERROR(VLOOKUP("transport|PM25|Premature mortality", US_national_yearly!$D:$AM, 35, FALSE) / VLOOKUP("transport|PM25|Premature mortality", US_national_yearly!$D:$AM, 10, FALSE), 1)</f>
        <v>2.9377133837241262E-2</v>
      </c>
      <c r="AB2" s="7">
        <f>$B2 * IFERROR(VLOOKUP("transport|PM25|Premature mortality", US_national_yearly!$D:$AM, 36, FALSE) / VLOOKUP("transport|PM25|Premature mortality", US_national_yearly!$D:$AM, 10, FALSE), 1)</f>
        <v>2.940339683955305E-2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1.0551029826795925E-4</v>
      </c>
      <c r="C3" s="7">
        <f>$B3 * IFERROR(VLOOKUP("transport|PM25|Infant mortality", US_national_yearly!$D:$AM, 11, FALSE) / VLOOKUP("transport|PM25|Infant mortality", US_national_yearly!$D:$AM, 10, FALSE), 1)</f>
        <v>1.0459034474589607E-4</v>
      </c>
      <c r="D3" s="7">
        <f>$B3 * IFERROR(VLOOKUP("transport|PM25|Infant mortality", US_national_yearly!$D:$AM, 12, FALSE) / VLOOKUP("transport|PM25|Infant mortality", US_national_yearly!$D:$AM, 10, FALSE), 1)</f>
        <v>1.0367039122383289E-4</v>
      </c>
      <c r="E3" s="7">
        <f>$B3 * IFERROR(VLOOKUP("transport|PM25|Infant mortality", US_national_yearly!$D:$AM, 13, FALSE) / VLOOKUP("transport|PM25|Infant mortality", US_national_yearly!$D:$AM, 10, FALSE), 1)</f>
        <v>1.0275043770176972E-4</v>
      </c>
      <c r="F3" s="7">
        <f>$B3 * IFERROR(VLOOKUP("transport|PM25|Infant mortality", US_national_yearly!$D:$AM, 14, FALSE) / VLOOKUP("transport|PM25|Infant mortality", US_national_yearly!$D:$AM, 10, FALSE), 1)</f>
        <v>1.0183048417970651E-4</v>
      </c>
      <c r="G3" s="7">
        <f>$B3 * IFERROR(VLOOKUP("transport|PM25|Infant mortality", US_national_yearly!$D:$AM, 15, FALSE) / VLOOKUP("transport|PM25|Infant mortality", US_national_yearly!$D:$AM, 10, FALSE), 1)</f>
        <v>6.7722719091292574E-5</v>
      </c>
      <c r="H3" s="7">
        <f>$B3 * IFERROR(VLOOKUP("transport|PM25|Infant mortality", US_national_yearly!$D:$AM, 16, FALSE) / VLOOKUP("transport|PM25|Infant mortality", US_national_yearly!$D:$AM, 10, FALSE), 1)</f>
        <v>3.3614954002878621E-5</v>
      </c>
      <c r="I3" s="7">
        <f>$B3 * IFERROR(VLOOKUP("transport|PM25|Infant mortality", US_national_yearly!$D:$AM, 17, FALSE) / VLOOKUP("transport|PM25|Infant mortality", US_national_yearly!$D:$AM, 10, FALSE), 1)</f>
        <v>3.3395224751517698E-5</v>
      </c>
      <c r="J3" s="7">
        <f>$B3 * IFERROR(VLOOKUP("transport|PM25|Infant mortality", US_national_yearly!$D:$AM, 18, FALSE) / VLOOKUP("transport|PM25|Infant mortality", US_national_yearly!$D:$AM, 10, FALSE), 1)</f>
        <v>3.3175495500156768E-5</v>
      </c>
      <c r="K3" s="7">
        <f>$B3 * IFERROR(VLOOKUP("transport|PM25|Infant mortality", US_national_yearly!$D:$AM, 19, FALSE) / VLOOKUP("transport|PM25|Infant mortality", US_national_yearly!$D:$AM, 10, FALSE), 1)</f>
        <v>3.2955766248795831E-5</v>
      </c>
      <c r="L3" s="7">
        <f>$B3 * IFERROR(VLOOKUP("transport|PM25|Infant mortality", US_national_yearly!$D:$AM, 20, FALSE) / VLOOKUP("transport|PM25|Infant mortality", US_national_yearly!$D:$AM, 10, FALSE), 1)</f>
        <v>3.2736036997434907E-5</v>
      </c>
      <c r="M3" s="7">
        <f>$B3 * IFERROR(VLOOKUP("transport|PM25|Infant mortality", US_national_yearly!$D:$AM, 21, FALSE) / VLOOKUP("transport|PM25|Infant mortality", US_national_yearly!$D:$AM, 10, FALSE), 1)</f>
        <v>3.2516307746073977E-5</v>
      </c>
      <c r="N3" s="7">
        <f>$B3 * IFERROR(VLOOKUP("transport|PM25|Infant mortality", US_national_yearly!$D:$AM, 22, FALSE) / VLOOKUP("transport|PM25|Infant mortality", US_national_yearly!$D:$AM, 10, FALSE), 1)</f>
        <v>3.2378293449815365E-5</v>
      </c>
      <c r="O3" s="7">
        <f>$B3 * IFERROR(VLOOKUP("transport|PM25|Infant mortality", US_national_yearly!$D:$AM, 23, FALSE) / VLOOKUP("transport|PM25|Infant mortality", US_national_yearly!$D:$AM, 10, FALSE), 1)</f>
        <v>3.2240279153556753E-5</v>
      </c>
      <c r="P3" s="7">
        <f>$B3 * IFERROR(VLOOKUP("transport|PM25|Infant mortality", US_national_yearly!$D:$AM, 24, FALSE) / VLOOKUP("transport|PM25|Infant mortality", US_national_yearly!$D:$AM, 10, FALSE), 1)</f>
        <v>3.2102264857298134E-5</v>
      </c>
      <c r="Q3" s="7">
        <f>$B3 * IFERROR(VLOOKUP("transport|PM25|Infant mortality", US_national_yearly!$D:$AM, 25, FALSE) / VLOOKUP("transport|PM25|Infant mortality", US_national_yearly!$D:$AM, 10, FALSE), 1)</f>
        <v>3.1964250561039521E-5</v>
      </c>
      <c r="R3" s="7">
        <f>$B3 * IFERROR(VLOOKUP("transport|PM25|Infant mortality", US_national_yearly!$D:$AM, 26, FALSE) / VLOOKUP("transport|PM25|Infant mortality", US_national_yearly!$D:$AM, 10, FALSE), 1)</f>
        <v>3.1826236264780909E-5</v>
      </c>
      <c r="S3" s="7">
        <f>$B3 * IFERROR(VLOOKUP("transport|PM25|Infant mortality", US_national_yearly!$D:$AM, 27, FALSE) / VLOOKUP("transport|PM25|Infant mortality", US_national_yearly!$D:$AM, 10, FALSE), 1)</f>
        <v>3.1654198622571622E-5</v>
      </c>
      <c r="T3" s="7">
        <f>$B3 * IFERROR(VLOOKUP("transport|PM25|Infant mortality", US_national_yearly!$D:$AM, 28, FALSE) / VLOOKUP("transport|PM25|Infant mortality", US_national_yearly!$D:$AM, 10, FALSE), 1)</f>
        <v>3.1482160980362336E-5</v>
      </c>
      <c r="U3" s="7">
        <f>$B3 * IFERROR(VLOOKUP("transport|PM25|Infant mortality", US_national_yearly!$D:$AM, 29, FALSE) / VLOOKUP("transport|PM25|Infant mortality", US_national_yearly!$D:$AM, 10, FALSE), 1)</f>
        <v>3.1310123338153049E-5</v>
      </c>
      <c r="V3" s="7">
        <f>$B3 * IFERROR(VLOOKUP("transport|PM25|Infant mortality", US_national_yearly!$D:$AM, 30, FALSE) / VLOOKUP("transport|PM25|Infant mortality", US_national_yearly!$D:$AM, 10, FALSE), 1)</f>
        <v>3.1138085695943762E-5</v>
      </c>
      <c r="W3" s="7">
        <f>$B3 * IFERROR(VLOOKUP("transport|PM25|Infant mortality", US_national_yearly!$D:$AM, 31, FALSE) / VLOOKUP("transport|PM25|Infant mortality", US_national_yearly!$D:$AM, 10, FALSE), 1)</f>
        <v>3.0966048053734475E-5</v>
      </c>
      <c r="X3" s="7">
        <f>$B3 * IFERROR(VLOOKUP("transport|PM25|Infant mortality", US_national_yearly!$D:$AM, 32, FALSE) / VLOOKUP("transport|PM25|Infant mortality", US_national_yearly!$D:$AM, 10, FALSE), 1)</f>
        <v>3.0780569852569741E-5</v>
      </c>
      <c r="Y3" s="7">
        <f>$B3 * IFERROR(VLOOKUP("transport|PM25|Infant mortality", US_national_yearly!$D:$AM, 33, FALSE) / VLOOKUP("transport|PM25|Infant mortality", US_national_yearly!$D:$AM, 10, FALSE), 1)</f>
        <v>3.0595091651404993E-5</v>
      </c>
      <c r="Z3" s="7">
        <f>$B3 * IFERROR(VLOOKUP("transport|PM25|Infant mortality", US_national_yearly!$D:$AM, 34, FALSE) / VLOOKUP("transport|PM25|Infant mortality", US_national_yearly!$D:$AM, 10, FALSE), 1)</f>
        <v>3.0409613450240258E-5</v>
      </c>
      <c r="AA3" s="7">
        <f>$B3 * IFERROR(VLOOKUP("transport|PM25|Infant mortality", US_national_yearly!$D:$AM, 35, FALSE) / VLOOKUP("transport|PM25|Infant mortality", US_national_yearly!$D:$AM, 10, FALSE), 1)</f>
        <v>3.0224135249075517E-5</v>
      </c>
      <c r="AB3" s="7">
        <f>$B3 * IFERROR(VLOOKUP("transport|PM25|Infant mortality", US_national_yearly!$D:$AM, 36, FALSE) / VLOOKUP("transport|PM25|Infant mortality", US_national_yearly!$D:$AM, 10, FALSE), 1)</f>
        <v>3.0038657047910782E-5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0.11535766895031092</v>
      </c>
      <c r="C6" s="7">
        <f>$B6 * IFERROR(VLOOKUP("transport|PM25|Asthma symptoms cough", US_national_yearly!$D:$AM, 11, FALSE) / VLOOKUP("transport|PM25|Asthma symptoms cough", US_national_yearly!$D:$AM, 10, FALSE), 1)</f>
        <v>0.11535766895031092</v>
      </c>
      <c r="D6" s="7">
        <f>$B6 * IFERROR(VLOOKUP("transport|PM25|Asthma symptoms cough", US_national_yearly!$D:$AM, 12, FALSE) / VLOOKUP("transport|PM25|Asthma symptoms cough", US_national_yearly!$D:$AM, 10, FALSE), 1)</f>
        <v>0.11535766895031092</v>
      </c>
      <c r="E6" s="7">
        <f>$B6 * IFERROR(VLOOKUP("transport|PM25|Asthma symptoms cough", US_national_yearly!$D:$AM, 13, FALSE) / VLOOKUP("transport|PM25|Asthma symptoms cough", US_national_yearly!$D:$AM, 10, FALSE), 1)</f>
        <v>0.11535766895031092</v>
      </c>
      <c r="F6" s="7">
        <f>$B6 * IFERROR(VLOOKUP("transport|PM25|Asthma symptoms cough", US_national_yearly!$D:$AM, 14, FALSE) / VLOOKUP("transport|PM25|Asthma symptoms cough", US_national_yearly!$D:$AM, 10, FALSE), 1)</f>
        <v>0.11535766895031092</v>
      </c>
      <c r="G6" s="7">
        <f>$B6 * IFERROR(VLOOKUP("transport|PM25|Asthma symptoms cough", US_national_yearly!$D:$AM, 15, FALSE) / VLOOKUP("transport|PM25|Asthma symptoms cough", US_national_yearly!$D:$AM, 10, FALSE), 1)</f>
        <v>0.11535766895031092</v>
      </c>
      <c r="H6" s="7">
        <f>$B6 * IFERROR(VLOOKUP("transport|PM25|Asthma symptoms cough", US_national_yearly!$D:$AM, 16, FALSE) / VLOOKUP("transport|PM25|Asthma symptoms cough", US_national_yearly!$D:$AM, 10, FALSE), 1)</f>
        <v>0.11535766895031092</v>
      </c>
      <c r="I6" s="7">
        <f>$B6 * IFERROR(VLOOKUP("transport|PM25|Asthma symptoms cough", US_national_yearly!$D:$AM, 17, FALSE) / VLOOKUP("transport|PM25|Asthma symptoms cough", US_national_yearly!$D:$AM, 10, FALSE), 1)</f>
        <v>0.11535766895031092</v>
      </c>
      <c r="J6" s="7">
        <f>$B6 * IFERROR(VLOOKUP("transport|PM25|Asthma symptoms cough", US_national_yearly!$D:$AM, 18, FALSE) / VLOOKUP("transport|PM25|Asthma symptoms cough", US_national_yearly!$D:$AM, 10, FALSE), 1)</f>
        <v>0.11535766895031092</v>
      </c>
      <c r="K6" s="7">
        <f>$B6 * IFERROR(VLOOKUP("transport|PM25|Asthma symptoms cough", US_national_yearly!$D:$AM, 19, FALSE) / VLOOKUP("transport|PM25|Asthma symptoms cough", US_national_yearly!$D:$AM, 10, FALSE), 1)</f>
        <v>0.11535766895031092</v>
      </c>
      <c r="L6" s="7">
        <f>$B6 * IFERROR(VLOOKUP("transport|PM25|Asthma symptoms cough", US_national_yearly!$D:$AM, 20, FALSE) / VLOOKUP("transport|PM25|Asthma symptoms cough", US_national_yearly!$D:$AM, 10, FALSE), 1)</f>
        <v>0.11535766895031092</v>
      </c>
      <c r="M6" s="7">
        <f>$B6 * IFERROR(VLOOKUP("transport|PM25|Asthma symptoms cough", US_national_yearly!$D:$AM, 21, FALSE) / VLOOKUP("transport|PM25|Asthma symptoms cough", US_national_yearly!$D:$AM, 10, FALSE), 1)</f>
        <v>0.11535766895031092</v>
      </c>
      <c r="N6" s="7">
        <f>$B6 * IFERROR(VLOOKUP("transport|PM25|Asthma symptoms cough", US_national_yearly!$D:$AM, 22, FALSE) / VLOOKUP("transport|PM25|Asthma symptoms cough", US_national_yearly!$D:$AM, 10, FALSE), 1)</f>
        <v>0.11535766895031092</v>
      </c>
      <c r="O6" s="7">
        <f>$B6 * IFERROR(VLOOKUP("transport|PM25|Asthma symptoms cough", US_national_yearly!$D:$AM, 23, FALSE) / VLOOKUP("transport|PM25|Asthma symptoms cough", US_national_yearly!$D:$AM, 10, FALSE), 1)</f>
        <v>0.11535766895031092</v>
      </c>
      <c r="P6" s="7">
        <f>$B6 * IFERROR(VLOOKUP("transport|PM25|Asthma symptoms cough", US_national_yearly!$D:$AM, 24, FALSE) / VLOOKUP("transport|PM25|Asthma symptoms cough", US_national_yearly!$D:$AM, 10, FALSE), 1)</f>
        <v>0.11535766895031092</v>
      </c>
      <c r="Q6" s="7">
        <f>$B6 * IFERROR(VLOOKUP("transport|PM25|Asthma symptoms cough", US_national_yearly!$D:$AM, 25, FALSE) / VLOOKUP("transport|PM25|Asthma symptoms cough", US_national_yearly!$D:$AM, 10, FALSE), 1)</f>
        <v>0.11535766895031092</v>
      </c>
      <c r="R6" s="7">
        <f>$B6 * IFERROR(VLOOKUP("transport|PM25|Asthma symptoms cough", US_national_yearly!$D:$AM, 26, FALSE) / VLOOKUP("transport|PM25|Asthma symptoms cough", US_national_yearly!$D:$AM, 10, FALSE), 1)</f>
        <v>0.11535766895031092</v>
      </c>
      <c r="S6" s="7">
        <f>$B6 * IFERROR(VLOOKUP("transport|PM25|Asthma symptoms cough", US_national_yearly!$D:$AM, 27, FALSE) / VLOOKUP("transport|PM25|Asthma symptoms cough", US_national_yearly!$D:$AM, 10, FALSE), 1)</f>
        <v>0.11535766895031092</v>
      </c>
      <c r="T6" s="7">
        <f>$B6 * IFERROR(VLOOKUP("transport|PM25|Asthma symptoms cough", US_national_yearly!$D:$AM, 28, FALSE) / VLOOKUP("transport|PM25|Asthma symptoms cough", US_national_yearly!$D:$AM, 10, FALSE), 1)</f>
        <v>0.11535766895031092</v>
      </c>
      <c r="U6" s="7">
        <f>$B6 * IFERROR(VLOOKUP("transport|PM25|Asthma symptoms cough", US_national_yearly!$D:$AM, 29, FALSE) / VLOOKUP("transport|PM25|Asthma symptoms cough", US_national_yearly!$D:$AM, 10, FALSE), 1)</f>
        <v>0.11535766895031092</v>
      </c>
      <c r="V6" s="7">
        <f>$B6 * IFERROR(VLOOKUP("transport|PM25|Asthma symptoms cough", US_national_yearly!$D:$AM, 30, FALSE) / VLOOKUP("transport|PM25|Asthma symptoms cough", US_national_yearly!$D:$AM, 10, FALSE), 1)</f>
        <v>0.11535766895031092</v>
      </c>
      <c r="W6" s="7">
        <f>$B6 * IFERROR(VLOOKUP("transport|PM25|Asthma symptoms cough", US_national_yearly!$D:$AM, 31, FALSE) / VLOOKUP("transport|PM25|Asthma symptoms cough", US_national_yearly!$D:$AM, 10, FALSE), 1)</f>
        <v>0.11535766895031092</v>
      </c>
      <c r="X6" s="7">
        <f>$B6 * IFERROR(VLOOKUP("transport|PM25|Asthma symptoms cough", US_national_yearly!$D:$AM, 32, FALSE) / VLOOKUP("transport|PM25|Asthma symptoms cough", US_national_yearly!$D:$AM, 10, FALSE), 1)</f>
        <v>0.11535766895031092</v>
      </c>
      <c r="Y6" s="7">
        <f>$B6 * IFERROR(VLOOKUP("transport|PM25|Asthma symptoms cough", US_national_yearly!$D:$AM, 33, FALSE) / VLOOKUP("transport|PM25|Asthma symptoms cough", US_national_yearly!$D:$AM, 10, FALSE), 1)</f>
        <v>0.11535766895031092</v>
      </c>
      <c r="Z6" s="7">
        <f>$B6 * IFERROR(VLOOKUP("transport|PM25|Asthma symptoms cough", US_national_yearly!$D:$AM, 34, FALSE) / VLOOKUP("transport|PM25|Asthma symptoms cough", US_national_yearly!$D:$AM, 10, FALSE), 1)</f>
        <v>0.11535766895031092</v>
      </c>
      <c r="AA6" s="7">
        <f>$B6 * IFERROR(VLOOKUP("transport|PM25|Asthma symptoms cough", US_national_yearly!$D:$AM, 35, FALSE) / VLOOKUP("transport|PM25|Asthma symptoms cough", US_national_yearly!$D:$AM, 10, FALSE), 1)</f>
        <v>0.11535766895031092</v>
      </c>
      <c r="AB6" s="7">
        <f>$B6 * IFERROR(VLOOKUP("transport|PM25|Asthma symptoms cough", US_national_yearly!$D:$AM, 36, FALSE) / VLOOKUP("transport|PM25|Asthma symptoms cough", US_national_yearly!$D:$AM, 10, FALSE), 1)</f>
        <v>0.11535766895031092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0.15534054284935039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0.15534054284935039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0.15534054284935039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0.15534054284935039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0.15534054284935039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0.15534054284935039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0.15534054284935039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0.15534054284935039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0.15534054284935039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0.15534054284935039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0.15534054284935039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0.15534054284935039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0.15534054284935039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0.15534054284935039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0.15534054284935039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0.15534054284935039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0.15534054284935039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0.15534054284935039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0.15534054284935039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0.15534054284935039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0.15534054284935039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0.15534054284935039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0.15534054284935039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0.15534054284935039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0.15534054284935039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0.15534054284935039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0.15534054284935039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0.2373529100473486</v>
      </c>
      <c r="C8" s="7">
        <f>$B8 * IFERROR(VLOOKUP("transport|PM25|Asthma symptoms wheeze", US_national_yearly!$D:$AM, 11, FALSE) / VLOOKUP("transport|PM25|Asthma symptoms wheeze", US_national_yearly!$D:$AM, 10, FALSE), 1)</f>
        <v>0.2373529100473486</v>
      </c>
      <c r="D8" s="7">
        <f>$B8 * IFERROR(VLOOKUP("transport|PM25|Asthma symptoms wheeze", US_national_yearly!$D:$AM, 12, FALSE) / VLOOKUP("transport|PM25|Asthma symptoms wheeze", US_national_yearly!$D:$AM, 10, FALSE), 1)</f>
        <v>0.2373529100473486</v>
      </c>
      <c r="E8" s="7">
        <f>$B8 * IFERROR(VLOOKUP("transport|PM25|Asthma symptoms wheeze", US_national_yearly!$D:$AM, 13, FALSE) / VLOOKUP("transport|PM25|Asthma symptoms wheeze", US_national_yearly!$D:$AM, 10, FALSE), 1)</f>
        <v>0.2373529100473486</v>
      </c>
      <c r="F8" s="7">
        <f>$B8 * IFERROR(VLOOKUP("transport|PM25|Asthma symptoms wheeze", US_national_yearly!$D:$AM, 14, FALSE) / VLOOKUP("transport|PM25|Asthma symptoms wheeze", US_national_yearly!$D:$AM, 10, FALSE), 1)</f>
        <v>0.2373529100473486</v>
      </c>
      <c r="G8" s="7">
        <f>$B8 * IFERROR(VLOOKUP("transport|PM25|Asthma symptoms wheeze", US_national_yearly!$D:$AM, 15, FALSE) / VLOOKUP("transport|PM25|Asthma symptoms wheeze", US_national_yearly!$D:$AM, 10, FALSE), 1)</f>
        <v>0.2373529100473486</v>
      </c>
      <c r="H8" s="7">
        <f>$B8 * IFERROR(VLOOKUP("transport|PM25|Asthma symptoms wheeze", US_national_yearly!$D:$AM, 16, FALSE) / VLOOKUP("transport|PM25|Asthma symptoms wheeze", US_national_yearly!$D:$AM, 10, FALSE), 1)</f>
        <v>0.2373529100473486</v>
      </c>
      <c r="I8" s="7">
        <f>$B8 * IFERROR(VLOOKUP("transport|PM25|Asthma symptoms wheeze", US_national_yearly!$D:$AM, 17, FALSE) / VLOOKUP("transport|PM25|Asthma symptoms wheeze", US_national_yearly!$D:$AM, 10, FALSE), 1)</f>
        <v>0.2373529100473486</v>
      </c>
      <c r="J8" s="7">
        <f>$B8 * IFERROR(VLOOKUP("transport|PM25|Asthma symptoms wheeze", US_national_yearly!$D:$AM, 18, FALSE) / VLOOKUP("transport|PM25|Asthma symptoms wheeze", US_national_yearly!$D:$AM, 10, FALSE), 1)</f>
        <v>0.2373529100473486</v>
      </c>
      <c r="K8" s="7">
        <f>$B8 * IFERROR(VLOOKUP("transport|PM25|Asthma symptoms wheeze", US_national_yearly!$D:$AM, 19, FALSE) / VLOOKUP("transport|PM25|Asthma symptoms wheeze", US_national_yearly!$D:$AM, 10, FALSE), 1)</f>
        <v>0.2373529100473486</v>
      </c>
      <c r="L8" s="7">
        <f>$B8 * IFERROR(VLOOKUP("transport|PM25|Asthma symptoms wheeze", US_national_yearly!$D:$AM, 20, FALSE) / VLOOKUP("transport|PM25|Asthma symptoms wheeze", US_national_yearly!$D:$AM, 10, FALSE), 1)</f>
        <v>0.2373529100473486</v>
      </c>
      <c r="M8" s="7">
        <f>$B8 * IFERROR(VLOOKUP("transport|PM25|Asthma symptoms wheeze", US_national_yearly!$D:$AM, 21, FALSE) / VLOOKUP("transport|PM25|Asthma symptoms wheeze", US_national_yearly!$D:$AM, 10, FALSE), 1)</f>
        <v>0.2373529100473486</v>
      </c>
      <c r="N8" s="7">
        <f>$B8 * IFERROR(VLOOKUP("transport|PM25|Asthma symptoms wheeze", US_national_yearly!$D:$AM, 22, FALSE) / VLOOKUP("transport|PM25|Asthma symptoms wheeze", US_national_yearly!$D:$AM, 10, FALSE), 1)</f>
        <v>0.2373529100473486</v>
      </c>
      <c r="O8" s="7">
        <f>$B8 * IFERROR(VLOOKUP("transport|PM25|Asthma symptoms wheeze", US_national_yearly!$D:$AM, 23, FALSE) / VLOOKUP("transport|PM25|Asthma symptoms wheeze", US_national_yearly!$D:$AM, 10, FALSE), 1)</f>
        <v>0.2373529100473486</v>
      </c>
      <c r="P8" s="7">
        <f>$B8 * IFERROR(VLOOKUP("transport|PM25|Asthma symptoms wheeze", US_national_yearly!$D:$AM, 24, FALSE) / VLOOKUP("transport|PM25|Asthma symptoms wheeze", US_national_yearly!$D:$AM, 10, FALSE), 1)</f>
        <v>0.2373529100473486</v>
      </c>
      <c r="Q8" s="7">
        <f>$B8 * IFERROR(VLOOKUP("transport|PM25|Asthma symptoms wheeze", US_national_yearly!$D:$AM, 25, FALSE) / VLOOKUP("transport|PM25|Asthma symptoms wheeze", US_national_yearly!$D:$AM, 10, FALSE), 1)</f>
        <v>0.2373529100473486</v>
      </c>
      <c r="R8" s="7">
        <f>$B8 * IFERROR(VLOOKUP("transport|PM25|Asthma symptoms wheeze", US_national_yearly!$D:$AM, 26, FALSE) / VLOOKUP("transport|PM25|Asthma symptoms wheeze", US_national_yearly!$D:$AM, 10, FALSE), 1)</f>
        <v>0.2373529100473486</v>
      </c>
      <c r="S8" s="7">
        <f>$B8 * IFERROR(VLOOKUP("transport|PM25|Asthma symptoms wheeze", US_national_yearly!$D:$AM, 27, FALSE) / VLOOKUP("transport|PM25|Asthma symptoms wheeze", US_national_yearly!$D:$AM, 10, FALSE), 1)</f>
        <v>0.2373529100473486</v>
      </c>
      <c r="T8" s="7">
        <f>$B8 * IFERROR(VLOOKUP("transport|PM25|Asthma symptoms wheeze", US_national_yearly!$D:$AM, 28, FALSE) / VLOOKUP("transport|PM25|Asthma symptoms wheeze", US_national_yearly!$D:$AM, 10, FALSE), 1)</f>
        <v>0.2373529100473486</v>
      </c>
      <c r="U8" s="7">
        <f>$B8 * IFERROR(VLOOKUP("transport|PM25|Asthma symptoms wheeze", US_national_yearly!$D:$AM, 29, FALSE) / VLOOKUP("transport|PM25|Asthma symptoms wheeze", US_national_yearly!$D:$AM, 10, FALSE), 1)</f>
        <v>0.2373529100473486</v>
      </c>
      <c r="V8" s="7">
        <f>$B8 * IFERROR(VLOOKUP("transport|PM25|Asthma symptoms wheeze", US_national_yearly!$D:$AM, 30, FALSE) / VLOOKUP("transport|PM25|Asthma symptoms wheeze", US_national_yearly!$D:$AM, 10, FALSE), 1)</f>
        <v>0.2373529100473486</v>
      </c>
      <c r="W8" s="7">
        <f>$B8 * IFERROR(VLOOKUP("transport|PM25|Asthma symptoms wheeze", US_national_yearly!$D:$AM, 31, FALSE) / VLOOKUP("transport|PM25|Asthma symptoms wheeze", US_national_yearly!$D:$AM, 10, FALSE), 1)</f>
        <v>0.2373529100473486</v>
      </c>
      <c r="X8" s="7">
        <f>$B8 * IFERROR(VLOOKUP("transport|PM25|Asthma symptoms wheeze", US_national_yearly!$D:$AM, 32, FALSE) / VLOOKUP("transport|PM25|Asthma symptoms wheeze", US_national_yearly!$D:$AM, 10, FALSE), 1)</f>
        <v>0.2373529100473486</v>
      </c>
      <c r="Y8" s="7">
        <f>$B8 * IFERROR(VLOOKUP("transport|PM25|Asthma symptoms wheeze", US_national_yearly!$D:$AM, 33, FALSE) / VLOOKUP("transport|PM25|Asthma symptoms wheeze", US_national_yearly!$D:$AM, 10, FALSE), 1)</f>
        <v>0.2373529100473486</v>
      </c>
      <c r="Z8" s="7">
        <f>$B8 * IFERROR(VLOOKUP("transport|PM25|Asthma symptoms wheeze", US_national_yearly!$D:$AM, 34, FALSE) / VLOOKUP("transport|PM25|Asthma symptoms wheeze", US_national_yearly!$D:$AM, 10, FALSE), 1)</f>
        <v>0.2373529100473486</v>
      </c>
      <c r="AA8" s="7">
        <f>$B8 * IFERROR(VLOOKUP("transport|PM25|Asthma symptoms wheeze", US_national_yearly!$D:$AM, 35, FALSE) / VLOOKUP("transport|PM25|Asthma symptoms wheeze", US_national_yearly!$D:$AM, 10, FALSE), 1)</f>
        <v>0.2373529100473486</v>
      </c>
      <c r="AB8" s="7">
        <f>$B8 * IFERROR(VLOOKUP("transport|PM25|Asthma symptoms wheeze", US_national_yearly!$D:$AM, 36, FALSE) / VLOOKUP("transport|PM25|Asthma symptoms wheeze", US_national_yearly!$D:$AM, 10, FALSE), 1)</f>
        <v>0.2373529100473486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1.2686428266280489E-3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1.2759141759749696E-3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1.2831855253218898E-3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1.2904568746688104E-3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1.2977282240157306E-3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1.3055815914718156E-3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1.3134349589279007E-3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1.3209385531551794E-3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1.3284421473824587E-3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1.3359457416097377E-3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1.3434493358370171E-3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1.3509529300642956E-3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1.3563384786098177E-3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1.3617240271553393E-3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1.3671095757008607E-3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1.3724951242463823E-3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1.3778806727919044E-3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1.3830084246495022E-3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1.3881361765071003E-3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1.3932639283646981E-3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1.3983916802222959E-3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1.4035194320798938E-3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1.4084523947773782E-3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1.4133853574748623E-3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1.4183183201723465E-3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1.4232512828698304E-3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1.4281842455673146E-3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8.7828919066696848E-3</v>
      </c>
      <c r="C13" s="7">
        <f>$B13 * IFERROR(VLOOKUP("transport|PM25|Non-fatal heart attacks", US_national_yearly!$D:$AM, 11, FALSE) / VLOOKUP("transport|PM25|Non-fatal heart attacks", US_national_yearly!$D:$AM, 10, FALSE), 1)</f>
        <v>9.0382338815241936E-3</v>
      </c>
      <c r="D13" s="7">
        <f>$B13 * IFERROR(VLOOKUP("transport|PM25|Non-fatal heart attacks", US_national_yearly!$D:$AM, 12, FALSE) / VLOOKUP("transport|PM25|Non-fatal heart attacks", US_national_yearly!$D:$AM, 10, FALSE), 1)</f>
        <v>9.2935758563787024E-3</v>
      </c>
      <c r="E13" s="7">
        <f>$B13 * IFERROR(VLOOKUP("transport|PM25|Non-fatal heart attacks", US_national_yearly!$D:$AM, 13, FALSE) / VLOOKUP("transport|PM25|Non-fatal heart attacks", US_national_yearly!$D:$AM, 10, FALSE), 1)</f>
        <v>9.5489178312332095E-3</v>
      </c>
      <c r="F13" s="7">
        <f>$B13 * IFERROR(VLOOKUP("transport|PM25|Non-fatal heart attacks", US_national_yearly!$D:$AM, 14, FALSE) / VLOOKUP("transport|PM25|Non-fatal heart attacks", US_national_yearly!$D:$AM, 10, FALSE), 1)</f>
        <v>9.8042598060877201E-3</v>
      </c>
      <c r="G13" s="7">
        <f>$B13 * IFERROR(VLOOKUP("transport|PM25|Non-fatal heart attacks", US_national_yearly!$D:$AM, 15, FALSE) / VLOOKUP("transport|PM25|Non-fatal heart attacks", US_national_yearly!$D:$AM, 10, FALSE), 1)</f>
        <v>1.0045063430782217E-2</v>
      </c>
      <c r="H13" s="7">
        <f>$B13 * IFERROR(VLOOKUP("transport|PM25|Non-fatal heart attacks", US_national_yearly!$D:$AM, 16, FALSE) / VLOOKUP("transport|PM25|Non-fatal heart attacks", US_national_yearly!$D:$AM, 10, FALSE), 1)</f>
        <v>1.0285867055476712E-2</v>
      </c>
      <c r="I13" s="7">
        <f>$B13 * IFERROR(VLOOKUP("transport|PM25|Non-fatal heart attacks", US_national_yearly!$D:$AM, 17, FALSE) / VLOOKUP("transport|PM25|Non-fatal heart attacks", US_national_yearly!$D:$AM, 10, FALSE), 1)</f>
        <v>1.0479393041119606E-2</v>
      </c>
      <c r="J13" s="7">
        <f>$B13 * IFERROR(VLOOKUP("transport|PM25|Non-fatal heart attacks", US_national_yearly!$D:$AM, 18, FALSE) / VLOOKUP("transport|PM25|Non-fatal heart attacks", US_national_yearly!$D:$AM, 10, FALSE), 1)</f>
        <v>1.06729190267625E-2</v>
      </c>
      <c r="K13" s="7">
        <f>$B13 * IFERROR(VLOOKUP("transport|PM25|Non-fatal heart attacks", US_national_yearly!$D:$AM, 19, FALSE) / VLOOKUP("transport|PM25|Non-fatal heart attacks", US_national_yearly!$D:$AM, 10, FALSE), 1)</f>
        <v>1.0866445012405395E-2</v>
      </c>
      <c r="L13" s="7">
        <f>$B13 * IFERROR(VLOOKUP("transport|PM25|Non-fatal heart attacks", US_national_yearly!$D:$AM, 20, FALSE) / VLOOKUP("transport|PM25|Non-fatal heart attacks", US_national_yearly!$D:$AM, 10, FALSE), 1)</f>
        <v>1.1059970998048289E-2</v>
      </c>
      <c r="M13" s="7">
        <f>$B13 * IFERROR(VLOOKUP("transport|PM25|Non-fatal heart attacks", US_national_yearly!$D:$AM, 21, FALSE) / VLOOKUP("transport|PM25|Non-fatal heart attacks", US_national_yearly!$D:$AM, 10, FALSE), 1)</f>
        <v>1.1253496983691184E-2</v>
      </c>
      <c r="N13" s="7">
        <f>$B13 * IFERROR(VLOOKUP("transport|PM25|Non-fatal heart attacks", US_national_yearly!$D:$AM, 22, FALSE) / VLOOKUP("transport|PM25|Non-fatal heart attacks", US_national_yearly!$D:$AM, 10, FALSE), 1)</f>
        <v>1.1378302134614568E-2</v>
      </c>
      <c r="O13" s="7">
        <f>$B13 * IFERROR(VLOOKUP("transport|PM25|Non-fatal heart attacks", US_national_yearly!$D:$AM, 23, FALSE) / VLOOKUP("transport|PM25|Non-fatal heart attacks", US_national_yearly!$D:$AM, 10, FALSE), 1)</f>
        <v>1.1503107285537953E-2</v>
      </c>
      <c r="P13" s="7">
        <f>$B13 * IFERROR(VLOOKUP("transport|PM25|Non-fatal heart attacks", US_national_yearly!$D:$AM, 24, FALSE) / VLOOKUP("transport|PM25|Non-fatal heart attacks", US_national_yearly!$D:$AM, 10, FALSE), 1)</f>
        <v>1.162791243646134E-2</v>
      </c>
      <c r="Q13" s="7">
        <f>$B13 * IFERROR(VLOOKUP("transport|PM25|Non-fatal heart attacks", US_national_yearly!$D:$AM, 25, FALSE) / VLOOKUP("transport|PM25|Non-fatal heart attacks", US_national_yearly!$D:$AM, 10, FALSE), 1)</f>
        <v>1.1752717587384724E-2</v>
      </c>
      <c r="R13" s="7">
        <f>$B13 * IFERROR(VLOOKUP("transport|PM25|Non-fatal heart attacks", US_national_yearly!$D:$AM, 26, FALSE) / VLOOKUP("transport|PM25|Non-fatal heart attacks", US_national_yearly!$D:$AM, 10, FALSE), 1)</f>
        <v>1.1877522738308111E-2</v>
      </c>
      <c r="S13" s="7">
        <f>$B13 * IFERROR(VLOOKUP("transport|PM25|Non-fatal heart attacks", US_national_yearly!$D:$AM, 27, FALSE) / VLOOKUP("transport|PM25|Non-fatal heart attacks", US_national_yearly!$D:$AM, 10, FALSE), 1)</f>
        <v>1.1943248696440313E-2</v>
      </c>
      <c r="T13" s="7">
        <f>$B13 * IFERROR(VLOOKUP("transport|PM25|Non-fatal heart attacks", US_national_yearly!$D:$AM, 28, FALSE) / VLOOKUP("transport|PM25|Non-fatal heart attacks", US_national_yearly!$D:$AM, 10, FALSE), 1)</f>
        <v>1.2008974654572522E-2</v>
      </c>
      <c r="U13" s="7">
        <f>$B13 * IFERROR(VLOOKUP("transport|PM25|Non-fatal heart attacks", US_national_yearly!$D:$AM, 29, FALSE) / VLOOKUP("transport|PM25|Non-fatal heart attacks", US_national_yearly!$D:$AM, 10, FALSE), 1)</f>
        <v>1.207470061270473E-2</v>
      </c>
      <c r="V13" s="7">
        <f>$B13 * IFERROR(VLOOKUP("transport|PM25|Non-fatal heart attacks", US_national_yearly!$D:$AM, 30, FALSE) / VLOOKUP("transport|PM25|Non-fatal heart attacks", US_national_yearly!$D:$AM, 10, FALSE), 1)</f>
        <v>1.2140426570836934E-2</v>
      </c>
      <c r="W13" s="7">
        <f>$B13 * IFERROR(VLOOKUP("transport|PM25|Non-fatal heart attacks", US_national_yearly!$D:$AM, 31, FALSE) / VLOOKUP("transport|PM25|Non-fatal heart attacks", US_national_yearly!$D:$AM, 10, FALSE), 1)</f>
        <v>1.2206152528969141E-2</v>
      </c>
      <c r="X13" s="7">
        <f>$B13 * IFERROR(VLOOKUP("transport|PM25|Non-fatal heart attacks", US_national_yearly!$D:$AM, 32, FALSE) / VLOOKUP("transport|PM25|Non-fatal heart attacks", US_national_yearly!$D:$AM, 10, FALSE), 1)</f>
        <v>1.225604803496971E-2</v>
      </c>
      <c r="Y13" s="7">
        <f>$B13 * IFERROR(VLOOKUP("transport|PM25|Non-fatal heart attacks", US_national_yearly!$D:$AM, 33, FALSE) / VLOOKUP("transport|PM25|Non-fatal heart attacks", US_national_yearly!$D:$AM, 10, FALSE), 1)</f>
        <v>1.230594354097028E-2</v>
      </c>
      <c r="Z13" s="7">
        <f>$B13 * IFERROR(VLOOKUP("transport|PM25|Non-fatal heart attacks", US_national_yearly!$D:$AM, 34, FALSE) / VLOOKUP("transport|PM25|Non-fatal heart attacks", US_national_yearly!$D:$AM, 10, FALSE), 1)</f>
        <v>1.2355839046970848E-2</v>
      </c>
      <c r="AA13" s="7">
        <f>$B13 * IFERROR(VLOOKUP("transport|PM25|Non-fatal heart attacks", US_national_yearly!$D:$AM, 35, FALSE) / VLOOKUP("transport|PM25|Non-fatal heart attacks", US_national_yearly!$D:$AM, 10, FALSE), 1)</f>
        <v>1.2405734552971419E-2</v>
      </c>
      <c r="AB13" s="7">
        <f>$B13 * IFERROR(VLOOKUP("transport|PM25|Non-fatal heart attacks", US_national_yearly!$D:$AM, 36, FALSE) / VLOOKUP("transport|PM25|Non-fatal heart attacks", US_national_yearly!$D:$AM, 10, FALSE), 1)</f>
        <v>1.2455630058971988E-2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11.144026321635497</v>
      </c>
      <c r="C14" s="7">
        <f>$B14 * IFERROR(VLOOKUP("transport|PM25|Minor restricted activity days", US_national_yearly!$D:$AM, 11, FALSE) / VLOOKUP("transport|PM25|Minor restricted activity days", US_national_yearly!$D:$AM, 10, FALSE), 1)</f>
        <v>11.171241355492862</v>
      </c>
      <c r="D14" s="7">
        <f>$B14 * IFERROR(VLOOKUP("transport|PM25|Minor restricted activity days", US_national_yearly!$D:$AM, 12, FALSE) / VLOOKUP("transport|PM25|Minor restricted activity days", US_national_yearly!$D:$AM, 10, FALSE), 1)</f>
        <v>11.198456389350227</v>
      </c>
      <c r="E14" s="7">
        <f>$B14 * IFERROR(VLOOKUP("transport|PM25|Minor restricted activity days", US_national_yearly!$D:$AM, 13, FALSE) / VLOOKUP("transport|PM25|Minor restricted activity days", US_national_yearly!$D:$AM, 10, FALSE), 1)</f>
        <v>11.225671423207594</v>
      </c>
      <c r="F14" s="7">
        <f>$B14 * IFERROR(VLOOKUP("transport|PM25|Minor restricted activity days", US_national_yearly!$D:$AM, 14, FALSE) / VLOOKUP("transport|PM25|Minor restricted activity days", US_national_yearly!$D:$AM, 10, FALSE), 1)</f>
        <v>11.252886457064957</v>
      </c>
      <c r="G14" s="7">
        <f>$B14 * IFERROR(VLOOKUP("transport|PM25|Minor restricted activity days", US_national_yearly!$D:$AM, 15, FALSE) / VLOOKUP("transport|PM25|Minor restricted activity days", US_national_yearly!$D:$AM, 10, FALSE), 1)</f>
        <v>11.293041425046116</v>
      </c>
      <c r="H14" s="7">
        <f>$B14 * IFERROR(VLOOKUP("transport|PM25|Minor restricted activity days", US_national_yearly!$D:$AM, 16, FALSE) / VLOOKUP("transport|PM25|Minor restricted activity days", US_national_yearly!$D:$AM, 10, FALSE), 1)</f>
        <v>11.333196393027276</v>
      </c>
      <c r="I14" s="7">
        <f>$B14 * IFERROR(VLOOKUP("transport|PM25|Minor restricted activity days", US_national_yearly!$D:$AM, 17, FALSE) / VLOOKUP("transport|PM25|Minor restricted activity days", US_national_yearly!$D:$AM, 10, FALSE), 1)</f>
        <v>11.401843000143929</v>
      </c>
      <c r="J14" s="7">
        <f>$B14 * IFERROR(VLOOKUP("transport|PM25|Minor restricted activity days", US_national_yearly!$D:$AM, 18, FALSE) / VLOOKUP("transport|PM25|Minor restricted activity days", US_national_yearly!$D:$AM, 10, FALSE), 1)</f>
        <v>11.470489607260578</v>
      </c>
      <c r="K14" s="7">
        <f>$B14 * IFERROR(VLOOKUP("transport|PM25|Minor restricted activity days", US_national_yearly!$D:$AM, 19, FALSE) / VLOOKUP("transport|PM25|Minor restricted activity days", US_national_yearly!$D:$AM, 10, FALSE), 1)</f>
        <v>11.539136214377232</v>
      </c>
      <c r="L14" s="7">
        <f>$B14 * IFERROR(VLOOKUP("transport|PM25|Minor restricted activity days", US_national_yearly!$D:$AM, 20, FALSE) / VLOOKUP("transport|PM25|Minor restricted activity days", US_national_yearly!$D:$AM, 10, FALSE), 1)</f>
        <v>11.607782821493883</v>
      </c>
      <c r="M14" s="7">
        <f>$B14 * IFERROR(VLOOKUP("transport|PM25|Minor restricted activity days", US_national_yearly!$D:$AM, 21, FALSE) / VLOOKUP("transport|PM25|Minor restricted activity days", US_national_yearly!$D:$AM, 10, FALSE), 1)</f>
        <v>11.676429428610534</v>
      </c>
      <c r="N14" s="7">
        <f>$B14 * IFERROR(VLOOKUP("transport|PM25|Minor restricted activity days", US_national_yearly!$D:$AM, 22, FALSE) / VLOOKUP("transport|PM25|Minor restricted activity days", US_national_yearly!$D:$AM, 10, FALSE), 1)</f>
        <v>11.769939775018585</v>
      </c>
      <c r="O14" s="7">
        <f>$B14 * IFERROR(VLOOKUP("transport|PM25|Minor restricted activity days", US_national_yearly!$D:$AM, 23, FALSE) / VLOOKUP("transport|PM25|Minor restricted activity days", US_national_yearly!$D:$AM, 10, FALSE), 1)</f>
        <v>11.863450121426633</v>
      </c>
      <c r="P14" s="7">
        <f>$B14 * IFERROR(VLOOKUP("transport|PM25|Minor restricted activity days", US_national_yearly!$D:$AM, 24, FALSE) / VLOOKUP("transport|PM25|Minor restricted activity days", US_national_yearly!$D:$AM, 10, FALSE), 1)</f>
        <v>11.956960467834683</v>
      </c>
      <c r="Q14" s="7">
        <f>$B14 * IFERROR(VLOOKUP("transport|PM25|Minor restricted activity days", US_national_yearly!$D:$AM, 25, FALSE) / VLOOKUP("transport|PM25|Minor restricted activity days", US_national_yearly!$D:$AM, 10, FALSE), 1)</f>
        <v>12.050470814242731</v>
      </c>
      <c r="R14" s="7">
        <f>$B14 * IFERROR(VLOOKUP("transport|PM25|Minor restricted activity days", US_national_yearly!$D:$AM, 26, FALSE) / VLOOKUP("transport|PM25|Minor restricted activity days", US_national_yearly!$D:$AM, 10, FALSE), 1)</f>
        <v>12.143981160650778</v>
      </c>
      <c r="S14" s="7">
        <f>$B14 * IFERROR(VLOOKUP("transport|PM25|Minor restricted activity days", US_national_yearly!$D:$AM, 27, FALSE) / VLOOKUP("transport|PM25|Minor restricted activity days", US_national_yearly!$D:$AM, 10, FALSE), 1)</f>
        <v>12.238135482173126</v>
      </c>
      <c r="T14" s="7">
        <f>$B14 * IFERROR(VLOOKUP("transport|PM25|Minor restricted activity days", US_national_yearly!$D:$AM, 28, FALSE) / VLOOKUP("transport|PM25|Minor restricted activity days", US_national_yearly!$D:$AM, 10, FALSE), 1)</f>
        <v>12.332289803695474</v>
      </c>
      <c r="U14" s="7">
        <f>$B14 * IFERROR(VLOOKUP("transport|PM25|Minor restricted activity days", US_national_yearly!$D:$AM, 29, FALSE) / VLOOKUP("transport|PM25|Minor restricted activity days", US_national_yearly!$D:$AM, 10, FALSE), 1)</f>
        <v>12.42644412521782</v>
      </c>
      <c r="V14" s="7">
        <f>$B14 * IFERROR(VLOOKUP("transport|PM25|Minor restricted activity days", US_national_yearly!$D:$AM, 30, FALSE) / VLOOKUP("transport|PM25|Minor restricted activity days", US_national_yearly!$D:$AM, 10, FALSE), 1)</f>
        <v>12.520598446740168</v>
      </c>
      <c r="W14" s="7">
        <f>$B14 * IFERROR(VLOOKUP("transport|PM25|Minor restricted activity days", US_national_yearly!$D:$AM, 31, FALSE) / VLOOKUP("transport|PM25|Minor restricted activity days", US_national_yearly!$D:$AM, 10, FALSE), 1)</f>
        <v>12.614752768262516</v>
      </c>
      <c r="X14" s="7">
        <f>$B14 * IFERROR(VLOOKUP("transport|PM25|Minor restricted activity days", US_national_yearly!$D:$AM, 32, FALSE) / VLOOKUP("transport|PM25|Minor restricted activity days", US_national_yearly!$D:$AM, 10, FALSE), 1)</f>
        <v>12.696488191448877</v>
      </c>
      <c r="Y14" s="7">
        <f>$B14 * IFERROR(VLOOKUP("transport|PM25|Minor restricted activity days", US_national_yearly!$D:$AM, 33, FALSE) / VLOOKUP("transport|PM25|Minor restricted activity days", US_national_yearly!$D:$AM, 10, FALSE), 1)</f>
        <v>12.778223614635236</v>
      </c>
      <c r="Z14" s="7">
        <f>$B14 * IFERROR(VLOOKUP("transport|PM25|Minor restricted activity days", US_national_yearly!$D:$AM, 34, FALSE) / VLOOKUP("transport|PM25|Minor restricted activity days", US_national_yearly!$D:$AM, 10, FALSE), 1)</f>
        <v>12.859959037821596</v>
      </c>
      <c r="AA14" s="7">
        <f>$B14 * IFERROR(VLOOKUP("transport|PM25|Minor restricted activity days", US_national_yearly!$D:$AM, 35, FALSE) / VLOOKUP("transport|PM25|Minor restricted activity days", US_national_yearly!$D:$AM, 10, FALSE), 1)</f>
        <v>12.941694461007955</v>
      </c>
      <c r="AB14" s="7">
        <f>$B14 * IFERROR(VLOOKUP("transport|PM25|Minor restricted activity days", US_national_yearly!$D:$AM, 36, FALSE) / VLOOKUP("transport|PM25|Minor restricted activity days", US_national_yearly!$D:$AM, 10, FALSE), 1)</f>
        <v>13.023429884194316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1.9099989576454182</v>
      </c>
      <c r="C15" s="7">
        <f>$B15 * IFERROR(VLOOKUP("transport|PM25|Work loss days", US_national_yearly!$D:$AM, 11, FALSE) / VLOOKUP("transport|PM25|Work loss days", US_national_yearly!$D:$AM, 10, FALSE), 1)</f>
        <v>1.9159192664882754</v>
      </c>
      <c r="D15" s="7">
        <f>$B15 * IFERROR(VLOOKUP("transport|PM25|Work loss days", US_national_yearly!$D:$AM, 12, FALSE) / VLOOKUP("transport|PM25|Work loss days", US_national_yearly!$D:$AM, 10, FALSE), 1)</f>
        <v>1.921839575331133</v>
      </c>
      <c r="E15" s="7">
        <f>$B15 * IFERROR(VLOOKUP("transport|PM25|Work loss days", US_national_yearly!$D:$AM, 13, FALSE) / VLOOKUP("transport|PM25|Work loss days", US_national_yearly!$D:$AM, 10, FALSE), 1)</f>
        <v>1.9277598841739902</v>
      </c>
      <c r="F15" s="7">
        <f>$B15 * IFERROR(VLOOKUP("transport|PM25|Work loss days", US_national_yearly!$D:$AM, 14, FALSE) / VLOOKUP("transport|PM25|Work loss days", US_national_yearly!$D:$AM, 10, FALSE), 1)</f>
        <v>1.9336801930168472</v>
      </c>
      <c r="G15" s="7">
        <f>$B15 * IFERROR(VLOOKUP("transport|PM25|Work loss days", US_national_yearly!$D:$AM, 15, FALSE) / VLOOKUP("transport|PM25|Work loss days", US_national_yearly!$D:$AM, 10, FALSE), 1)</f>
        <v>1.9414420956904186</v>
      </c>
      <c r="H15" s="7">
        <f>$B15 * IFERROR(VLOOKUP("transport|PM25|Work loss days", US_national_yearly!$D:$AM, 16, FALSE) / VLOOKUP("transport|PM25|Work loss days", US_national_yearly!$D:$AM, 10, FALSE), 1)</f>
        <v>1.9492039983639902</v>
      </c>
      <c r="I15" s="7">
        <f>$B15 * IFERROR(VLOOKUP("transport|PM25|Work loss days", US_national_yearly!$D:$AM, 17, FALSE) / VLOOKUP("transport|PM25|Work loss days", US_national_yearly!$D:$AM, 10, FALSE), 1)</f>
        <v>1.9606342537429746</v>
      </c>
      <c r="J15" s="7">
        <f>$B15 * IFERROR(VLOOKUP("transport|PM25|Work loss days", US_national_yearly!$D:$AM, 18, FALSE) / VLOOKUP("transport|PM25|Work loss days", US_national_yearly!$D:$AM, 10, FALSE), 1)</f>
        <v>1.9720645091219591</v>
      </c>
      <c r="K15" s="7">
        <f>$B15 * IFERROR(VLOOKUP("transport|PM25|Work loss days", US_national_yearly!$D:$AM, 19, FALSE) / VLOOKUP("transport|PM25|Work loss days", US_national_yearly!$D:$AM, 10, FALSE), 1)</f>
        <v>1.9834947645009433</v>
      </c>
      <c r="L15" s="7">
        <f>$B15 * IFERROR(VLOOKUP("transport|PM25|Work loss days", US_national_yearly!$D:$AM, 20, FALSE) / VLOOKUP("transport|PM25|Work loss days", US_national_yearly!$D:$AM, 10, FALSE), 1)</f>
        <v>1.9949250198799278</v>
      </c>
      <c r="M15" s="7">
        <f>$B15 * IFERROR(VLOOKUP("transport|PM25|Work loss days", US_national_yearly!$D:$AM, 21, FALSE) / VLOOKUP("transport|PM25|Work loss days", US_national_yearly!$D:$AM, 10, FALSE), 1)</f>
        <v>2.0063552752589122</v>
      </c>
      <c r="N15" s="7">
        <f>$B15 * IFERROR(VLOOKUP("transport|PM25|Work loss days", US_national_yearly!$D:$AM, 22, FALSE) / VLOOKUP("transport|PM25|Work loss days", US_national_yearly!$D:$AM, 10, FALSE), 1)</f>
        <v>2.0207411167956897</v>
      </c>
      <c r="O15" s="7">
        <f>$B15 * IFERROR(VLOOKUP("transport|PM25|Work loss days", US_national_yearly!$D:$AM, 23, FALSE) / VLOOKUP("transport|PM25|Work loss days", US_national_yearly!$D:$AM, 10, FALSE), 1)</f>
        <v>2.0351269583324667</v>
      </c>
      <c r="P15" s="7">
        <f>$B15 * IFERROR(VLOOKUP("transport|PM25|Work loss days", US_national_yearly!$D:$AM, 24, FALSE) / VLOOKUP("transport|PM25|Work loss days", US_national_yearly!$D:$AM, 10, FALSE), 1)</f>
        <v>2.0495127998692442</v>
      </c>
      <c r="Q15" s="7">
        <f>$B15 * IFERROR(VLOOKUP("transport|PM25|Work loss days", US_national_yearly!$D:$AM, 25, FALSE) / VLOOKUP("transport|PM25|Work loss days", US_national_yearly!$D:$AM, 10, FALSE), 1)</f>
        <v>2.0638986414060212</v>
      </c>
      <c r="R15" s="7">
        <f>$B15 * IFERROR(VLOOKUP("transport|PM25|Work loss days", US_national_yearly!$D:$AM, 26, FALSE) / VLOOKUP("transport|PM25|Work loss days", US_national_yearly!$D:$AM, 10, FALSE), 1)</f>
        <v>2.0782844829427991</v>
      </c>
      <c r="S15" s="7">
        <f>$B15 * IFERROR(VLOOKUP("transport|PM25|Work loss days", US_national_yearly!$D:$AM, 27, FALSE) / VLOOKUP("transport|PM25|Work loss days", US_national_yearly!$D:$AM, 10, FALSE), 1)</f>
        <v>2.0941958378637255</v>
      </c>
      <c r="T15" s="7">
        <f>$B15 * IFERROR(VLOOKUP("transport|PM25|Work loss days", US_national_yearly!$D:$AM, 28, FALSE) / VLOOKUP("transport|PM25|Work loss days", US_national_yearly!$D:$AM, 10, FALSE), 1)</f>
        <v>2.1101071927846524</v>
      </c>
      <c r="U15" s="7">
        <f>$B15 * IFERROR(VLOOKUP("transport|PM25|Work loss days", US_national_yearly!$D:$AM, 29, FALSE) / VLOOKUP("transport|PM25|Work loss days", US_national_yearly!$D:$AM, 10, FALSE), 1)</f>
        <v>2.1260185477055789</v>
      </c>
      <c r="V15" s="7">
        <f>$B15 * IFERROR(VLOOKUP("transport|PM25|Work loss days", US_national_yearly!$D:$AM, 30, FALSE) / VLOOKUP("transport|PM25|Work loss days", US_national_yearly!$D:$AM, 10, FALSE), 1)</f>
        <v>2.1419299026265057</v>
      </c>
      <c r="W15" s="7">
        <f>$B15 * IFERROR(VLOOKUP("transport|PM25|Work loss days", US_national_yearly!$D:$AM, 31, FALSE) / VLOOKUP("transport|PM25|Work loss days", US_national_yearly!$D:$AM, 10, FALSE), 1)</f>
        <v>2.1578412575474322</v>
      </c>
      <c r="X15" s="7">
        <f>$B15 * IFERROR(VLOOKUP("transport|PM25|Work loss days", US_national_yearly!$D:$AM, 32, FALSE) / VLOOKUP("transport|PM25|Work loss days", US_national_yearly!$D:$AM, 10, FALSE), 1)</f>
        <v>2.1719589207123535</v>
      </c>
      <c r="Y15" s="7">
        <f>$B15 * IFERROR(VLOOKUP("transport|PM25|Work loss days", US_national_yearly!$D:$AM, 33, FALSE) / VLOOKUP("transport|PM25|Work loss days", US_national_yearly!$D:$AM, 10, FALSE), 1)</f>
        <v>2.1860765838772749</v>
      </c>
      <c r="Z15" s="7">
        <f>$B15 * IFERROR(VLOOKUP("transport|PM25|Work loss days", US_national_yearly!$D:$AM, 34, FALSE) / VLOOKUP("transport|PM25|Work loss days", US_national_yearly!$D:$AM, 10, FALSE), 1)</f>
        <v>2.2001942470421962</v>
      </c>
      <c r="AA15" s="7">
        <f>$B15 * IFERROR(VLOOKUP("transport|PM25|Work loss days", US_national_yearly!$D:$AM, 35, FALSE) / VLOOKUP("transport|PM25|Work loss days", US_national_yearly!$D:$AM, 10, FALSE), 1)</f>
        <v>2.214311910207118</v>
      </c>
      <c r="AB15" s="7">
        <f>$B15 * IFERROR(VLOOKUP("transport|PM25|Work loss days", US_national_yearly!$D:$AM, 36, FALSE) / VLOOKUP("transport|PM25|Work loss days", US_national_yearly!$D:$AM, 10, FALSE), 1)</f>
        <v>2.228429573372039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1.6607554819788616E-3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1.7103800138531817E-3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1.7600045457275019E-3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1.8096290776018222E-3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1.8592536094761425E-3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1.9067850467428668E-3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1.9543164840095917E-3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1.9949679787406105E-3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2.0356194734716293E-3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2.0762709682026477E-3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2.1169224629336669E-3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2.1575739576646857E-3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2.184677237329674E-3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2.2117805169946632E-3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2.2388837966596515E-3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2.2659870763246407E-3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2.2930903559896291E-3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2.3074305213235643E-3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2.321770686657499E-3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2.3361108519914333E-3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2.3504510173253681E-3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2.3647911826593032E-3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2.3744451705922142E-3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2.3840991585251255E-3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2.3937531464580369E-3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2.4034071343909478E-3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2.4130611223238591E-3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1.0374308534755695E-3</v>
      </c>
      <c r="C2" s="7">
        <f>$B2 * IFERROR(VLOOKUP("transport|NOx|Premature mortality", US_national_yearly!$D:$AM, 11, FALSE) / VLOOKUP("transport|NOx|Premature mortality", US_national_yearly!$D:$AM, 10, FALSE), 1)</f>
        <v>1.0526689591922303E-3</v>
      </c>
      <c r="D2" s="7">
        <f>$B2 * IFERROR(VLOOKUP("transport|NOx|Premature mortality", US_national_yearly!$D:$AM, 12, FALSE) / VLOOKUP("transport|NOx|Premature mortality", US_national_yearly!$D:$AM, 10, FALSE), 1)</f>
        <v>1.0679070649088906E-3</v>
      </c>
      <c r="E2" s="7">
        <f>$B2 * IFERROR(VLOOKUP("transport|NOx|Premature mortality", US_national_yearly!$D:$AM, 13, FALSE) / VLOOKUP("transport|NOx|Premature mortality", US_national_yearly!$D:$AM, 10, FALSE), 1)</f>
        <v>1.0831451706255514E-3</v>
      </c>
      <c r="F2" s="7">
        <f>$B2 * IFERROR(VLOOKUP("transport|NOx|Premature mortality", US_national_yearly!$D:$AM, 14, FALSE) / VLOOKUP("transport|NOx|Premature mortality", US_national_yearly!$D:$AM, 10, FALSE), 1)</f>
        <v>1.0983832763422122E-3</v>
      </c>
      <c r="G2" s="7">
        <f>$B2 * IFERROR(VLOOKUP("transport|NOx|Premature mortality", US_national_yearly!$D:$AM, 15, FALSE) / VLOOKUP("transport|NOx|Premature mortality", US_national_yearly!$D:$AM, 10, FALSE), 1)</f>
        <v>1.125754516866354E-3</v>
      </c>
      <c r="H2" s="7">
        <f>$B2 * IFERROR(VLOOKUP("transport|NOx|Premature mortality", US_national_yearly!$D:$AM, 16, FALSE) / VLOOKUP("transport|NOx|Premature mortality", US_national_yearly!$D:$AM, 10, FALSE), 1)</f>
        <v>1.1531257573904965E-3</v>
      </c>
      <c r="I2" s="7">
        <f>$B2 * IFERROR(VLOOKUP("transport|NOx|Premature mortality", US_national_yearly!$D:$AM, 17, FALSE) / VLOOKUP("transport|NOx|Premature mortality", US_national_yearly!$D:$AM, 10, FALSE), 1)</f>
        <v>1.1707944123439012E-3</v>
      </c>
      <c r="J2" s="7">
        <f>$B2 * IFERROR(VLOOKUP("transport|NOx|Premature mortality", US_national_yearly!$D:$AM, 18, FALSE) / VLOOKUP("transport|NOx|Premature mortality", US_national_yearly!$D:$AM, 10, FALSE), 1)</f>
        <v>1.188463067297306E-3</v>
      </c>
      <c r="K2" s="7">
        <f>$B2 * IFERROR(VLOOKUP("transport|NOx|Premature mortality", US_national_yearly!$D:$AM, 19, FALSE) / VLOOKUP("transport|NOx|Premature mortality", US_national_yearly!$D:$AM, 10, FALSE), 1)</f>
        <v>1.2061317222507107E-3</v>
      </c>
      <c r="L2" s="7">
        <f>$B2 * IFERROR(VLOOKUP("transport|NOx|Premature mortality", US_national_yearly!$D:$AM, 20, FALSE) / VLOOKUP("transport|NOx|Premature mortality", US_national_yearly!$D:$AM, 10, FALSE), 1)</f>
        <v>1.2238003772041151E-3</v>
      </c>
      <c r="M2" s="7">
        <f>$B2 * IFERROR(VLOOKUP("transport|NOx|Premature mortality", US_national_yearly!$D:$AM, 21, FALSE) / VLOOKUP("transport|NOx|Premature mortality", US_national_yearly!$D:$AM, 10, FALSE), 1)</f>
        <v>1.24146903215752E-3</v>
      </c>
      <c r="N2" s="7">
        <f>$B2 * IFERROR(VLOOKUP("transport|NOx|Premature mortality", US_national_yearly!$D:$AM, 22, FALSE) / VLOOKUP("transport|NOx|Premature mortality", US_national_yearly!$D:$AM, 10, FALSE), 1)</f>
        <v>1.2545579030593338E-3</v>
      </c>
      <c r="O2" s="7">
        <f>$B2 * IFERROR(VLOOKUP("transport|NOx|Premature mortality", US_national_yearly!$D:$AM, 23, FALSE) / VLOOKUP("transport|NOx|Premature mortality", US_national_yearly!$D:$AM, 10, FALSE), 1)</f>
        <v>1.2676467739611479E-3</v>
      </c>
      <c r="P2" s="7">
        <f>$B2 * IFERROR(VLOOKUP("transport|NOx|Premature mortality", US_national_yearly!$D:$AM, 24, FALSE) / VLOOKUP("transport|NOx|Premature mortality", US_national_yearly!$D:$AM, 10, FALSE), 1)</f>
        <v>1.2807356448629617E-3</v>
      </c>
      <c r="Q2" s="7">
        <f>$B2 * IFERROR(VLOOKUP("transport|NOx|Premature mortality", US_national_yearly!$D:$AM, 25, FALSE) / VLOOKUP("transport|NOx|Premature mortality", US_national_yearly!$D:$AM, 10, FALSE), 1)</f>
        <v>1.293824515764776E-3</v>
      </c>
      <c r="R2" s="7">
        <f>$B2 * IFERROR(VLOOKUP("transport|NOx|Premature mortality", US_national_yearly!$D:$AM, 26, FALSE) / VLOOKUP("transport|NOx|Premature mortality", US_national_yearly!$D:$AM, 10, FALSE), 1)</f>
        <v>1.3069133866665898E-3</v>
      </c>
      <c r="S2" s="7">
        <f>$B2 * IFERROR(VLOOKUP("transport|NOx|Premature mortality", US_national_yearly!$D:$AM, 27, FALSE) / VLOOKUP("transport|NOx|Premature mortality", US_national_yearly!$D:$AM, 10, FALSE), 1)</f>
        <v>1.3128624102946426E-3</v>
      </c>
      <c r="T2" s="7">
        <f>$B2 * IFERROR(VLOOKUP("transport|NOx|Premature mortality", US_national_yearly!$D:$AM, 28, FALSE) / VLOOKUP("transport|NOx|Premature mortality", US_national_yearly!$D:$AM, 10, FALSE), 1)</f>
        <v>1.3188114339226958E-3</v>
      </c>
      <c r="U2" s="7">
        <f>$B2 * IFERROR(VLOOKUP("transport|NOx|Premature mortality", US_national_yearly!$D:$AM, 29, FALSE) / VLOOKUP("transport|NOx|Premature mortality", US_national_yearly!$D:$AM, 10, FALSE), 1)</f>
        <v>1.3247604575507485E-3</v>
      </c>
      <c r="V2" s="7">
        <f>$B2 * IFERROR(VLOOKUP("transport|NOx|Premature mortality", US_national_yearly!$D:$AM, 30, FALSE) / VLOOKUP("transport|NOx|Premature mortality", US_national_yearly!$D:$AM, 10, FALSE), 1)</f>
        <v>1.3307094811788015E-3</v>
      </c>
      <c r="W2" s="7">
        <f>$B2 * IFERROR(VLOOKUP("transport|NOx|Premature mortality", US_national_yearly!$D:$AM, 31, FALSE) / VLOOKUP("transport|NOx|Premature mortality", US_national_yearly!$D:$AM, 10, FALSE), 1)</f>
        <v>1.3366585048068544E-3</v>
      </c>
      <c r="X2" s="7">
        <f>$B2 * IFERROR(VLOOKUP("transport|NOx|Premature mortality", US_national_yearly!$D:$AM, 32, FALSE) / VLOOKUP("transport|NOx|Premature mortality", US_national_yearly!$D:$AM, 10, FALSE), 1)</f>
        <v>1.3368645755705633E-3</v>
      </c>
      <c r="Y2" s="7">
        <f>$B2 * IFERROR(VLOOKUP("transport|NOx|Premature mortality", US_national_yearly!$D:$AM, 33, FALSE) / VLOOKUP("transport|NOx|Premature mortality", US_national_yearly!$D:$AM, 10, FALSE), 1)</f>
        <v>1.3370706463342722E-3</v>
      </c>
      <c r="Z2" s="7">
        <f>$B2 * IFERROR(VLOOKUP("transport|NOx|Premature mortality", US_national_yearly!$D:$AM, 34, FALSE) / VLOOKUP("transport|NOx|Premature mortality", US_national_yearly!$D:$AM, 10, FALSE), 1)</f>
        <v>1.3372767170979809E-3</v>
      </c>
      <c r="AA2" s="7">
        <f>$B2 * IFERROR(VLOOKUP("transport|NOx|Premature mortality", US_national_yearly!$D:$AM, 35, FALSE) / VLOOKUP("transport|NOx|Premature mortality", US_national_yearly!$D:$AM, 10, FALSE), 1)</f>
        <v>1.33748278786169E-3</v>
      </c>
      <c r="AB2" s="7">
        <f>$B2 * IFERROR(VLOOKUP("transport|NOx|Premature mortality", US_national_yearly!$D:$AM, 36, FALSE) / VLOOKUP("transport|NOx|Premature mortality", US_national_yearly!$D:$AM, 10, FALSE), 1)</f>
        <v>1.3376888586253989E-3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4.8282684892329615E-6</v>
      </c>
      <c r="C3" s="7">
        <f>$B3 * IFERROR(VLOOKUP("transport|NOx|Infant mortality", US_national_yearly!$D:$AM, 11, FALSE) / VLOOKUP("transport|NOx|Infant mortality", US_national_yearly!$D:$AM, 10, FALSE), 1)</f>
        <v>4.7822669286602989E-6</v>
      </c>
      <c r="D3" s="7">
        <f>$B3 * IFERROR(VLOOKUP("transport|NOx|Infant mortality", US_national_yearly!$D:$AM, 12, FALSE) / VLOOKUP("transport|NOx|Infant mortality", US_national_yearly!$D:$AM, 10, FALSE), 1)</f>
        <v>4.7362653680876353E-6</v>
      </c>
      <c r="E3" s="7">
        <f>$B3 * IFERROR(VLOOKUP("transport|NOx|Infant mortality", US_national_yearly!$D:$AM, 13, FALSE) / VLOOKUP("transport|NOx|Infant mortality", US_national_yearly!$D:$AM, 10, FALSE), 1)</f>
        <v>4.6902638075149726E-6</v>
      </c>
      <c r="F3" s="7">
        <f>$B3 * IFERROR(VLOOKUP("transport|NOx|Infant mortality", US_national_yearly!$D:$AM, 14, FALSE) / VLOOKUP("transport|NOx|Infant mortality", US_national_yearly!$D:$AM, 10, FALSE), 1)</f>
        <v>4.64426224694231E-6</v>
      </c>
      <c r="G3" s="7">
        <f>$B3 * IFERROR(VLOOKUP("transport|NOx|Infant mortality", US_national_yearly!$D:$AM, 15, FALSE) / VLOOKUP("transport|NOx|Infant mortality", US_national_yearly!$D:$AM, 10, FALSE), 1)</f>
        <v>3.0830906177537161E-6</v>
      </c>
      <c r="H3" s="7">
        <f>$B3 * IFERROR(VLOOKUP("transport|NOx|Infant mortality", US_national_yearly!$D:$AM, 16, FALSE) / VLOOKUP("transport|NOx|Infant mortality", US_national_yearly!$D:$AM, 10, FALSE), 1)</f>
        <v>1.5219189885651224E-6</v>
      </c>
      <c r="I3" s="7">
        <f>$B3 * IFERROR(VLOOKUP("transport|NOx|Infant mortality", US_national_yearly!$D:$AM, 17, FALSE) / VLOOKUP("transport|NOx|Infant mortality", US_national_yearly!$D:$AM, 10, FALSE), 1)</f>
        <v>1.5111575681817951E-6</v>
      </c>
      <c r="J3" s="7">
        <f>$B3 * IFERROR(VLOOKUP("transport|NOx|Infant mortality", US_national_yearly!$D:$AM, 18, FALSE) / VLOOKUP("transport|NOx|Infant mortality", US_national_yearly!$D:$AM, 10, FALSE), 1)</f>
        <v>1.5003961477984679E-6</v>
      </c>
      <c r="K3" s="7">
        <f>$B3 * IFERROR(VLOOKUP("transport|NOx|Infant mortality", US_national_yearly!$D:$AM, 19, FALSE) / VLOOKUP("transport|NOx|Infant mortality", US_national_yearly!$D:$AM, 10, FALSE), 1)</f>
        <v>1.4896347274151406E-6</v>
      </c>
      <c r="L3" s="7">
        <f>$B3 * IFERROR(VLOOKUP("transport|NOx|Infant mortality", US_national_yearly!$D:$AM, 20, FALSE) / VLOOKUP("transport|NOx|Infant mortality", US_national_yearly!$D:$AM, 10, FALSE), 1)</f>
        <v>1.4788733070318135E-6</v>
      </c>
      <c r="M3" s="7">
        <f>$B3 * IFERROR(VLOOKUP("transport|NOx|Infant mortality", US_national_yearly!$D:$AM, 21, FALSE) / VLOOKUP("transport|NOx|Infant mortality", US_national_yearly!$D:$AM, 10, FALSE), 1)</f>
        <v>1.468111886648486E-6</v>
      </c>
      <c r="N3" s="7">
        <f>$B3 * IFERROR(VLOOKUP("transport|NOx|Infant mortality", US_national_yearly!$D:$AM, 22, FALSE) / VLOOKUP("transport|NOx|Infant mortality", US_national_yearly!$D:$AM, 10, FALSE), 1)</f>
        <v>1.4609689057597577E-6</v>
      </c>
      <c r="O3" s="7">
        <f>$B3 * IFERROR(VLOOKUP("transport|NOx|Infant mortality", US_national_yearly!$D:$AM, 23, FALSE) / VLOOKUP("transport|NOx|Infant mortality", US_national_yearly!$D:$AM, 10, FALSE), 1)</f>
        <v>1.4538259248710294E-6</v>
      </c>
      <c r="P3" s="7">
        <f>$B3 * IFERROR(VLOOKUP("transport|NOx|Infant mortality", US_national_yearly!$D:$AM, 24, FALSE) / VLOOKUP("transport|NOx|Infant mortality", US_national_yearly!$D:$AM, 10, FALSE), 1)</f>
        <v>1.4466829439823013E-6</v>
      </c>
      <c r="Q3" s="7">
        <f>$B3 * IFERROR(VLOOKUP("transport|NOx|Infant mortality", US_national_yearly!$D:$AM, 25, FALSE) / VLOOKUP("transport|NOx|Infant mortality", US_national_yearly!$D:$AM, 10, FALSE), 1)</f>
        <v>1.439539963093573E-6</v>
      </c>
      <c r="R3" s="7">
        <f>$B3 * IFERROR(VLOOKUP("transport|NOx|Infant mortality", US_national_yearly!$D:$AM, 26, FALSE) / VLOOKUP("transport|NOx|Infant mortality", US_national_yearly!$D:$AM, 10, FALSE), 1)</f>
        <v>1.4323969822048446E-6</v>
      </c>
      <c r="S3" s="7">
        <f>$B3 * IFERROR(VLOOKUP("transport|NOx|Infant mortality", US_national_yearly!$D:$AM, 27, FALSE) / VLOOKUP("transport|NOx|Infant mortality", US_national_yearly!$D:$AM, 10, FALSE), 1)</f>
        <v>1.4238099832724451E-6</v>
      </c>
      <c r="T3" s="7">
        <f>$B3 * IFERROR(VLOOKUP("transport|NOx|Infant mortality", US_national_yearly!$D:$AM, 28, FALSE) / VLOOKUP("transport|NOx|Infant mortality", US_national_yearly!$D:$AM, 10, FALSE), 1)</f>
        <v>1.4152229843400454E-6</v>
      </c>
      <c r="U3" s="7">
        <f>$B3 * IFERROR(VLOOKUP("transport|NOx|Infant mortality", US_national_yearly!$D:$AM, 29, FALSE) / VLOOKUP("transport|NOx|Infant mortality", US_national_yearly!$D:$AM, 10, FALSE), 1)</f>
        <v>1.4066359854076458E-6</v>
      </c>
      <c r="V3" s="7">
        <f>$B3 * IFERROR(VLOOKUP("transport|NOx|Infant mortality", US_national_yearly!$D:$AM, 30, FALSE) / VLOOKUP("transport|NOx|Infant mortality", US_national_yearly!$D:$AM, 10, FALSE), 1)</f>
        <v>1.3980489864752463E-6</v>
      </c>
      <c r="W3" s="7">
        <f>$B3 * IFERROR(VLOOKUP("transport|NOx|Infant mortality", US_national_yearly!$D:$AM, 31, FALSE) / VLOOKUP("transport|NOx|Infant mortality", US_national_yearly!$D:$AM, 10, FALSE), 1)</f>
        <v>1.3894619875428468E-6</v>
      </c>
      <c r="X3" s="7">
        <f>$B3 * IFERROR(VLOOKUP("transport|NOx|Infant mortality", US_national_yearly!$D:$AM, 32, FALSE) / VLOOKUP("transport|NOx|Infant mortality", US_national_yearly!$D:$AM, 10, FALSE), 1)</f>
        <v>1.3803679404231155E-6</v>
      </c>
      <c r="Y3" s="7">
        <f>$B3 * IFERROR(VLOOKUP("transport|NOx|Infant mortality", US_national_yearly!$D:$AM, 33, FALSE) / VLOOKUP("transport|NOx|Infant mortality", US_national_yearly!$D:$AM, 10, FALSE), 1)</f>
        <v>1.3712738933033841E-6</v>
      </c>
      <c r="Z3" s="7">
        <f>$B3 * IFERROR(VLOOKUP("transport|NOx|Infant mortality", US_national_yearly!$D:$AM, 34, FALSE) / VLOOKUP("transport|NOx|Infant mortality", US_national_yearly!$D:$AM, 10, FALSE), 1)</f>
        <v>1.3621798461836526E-6</v>
      </c>
      <c r="AA3" s="7">
        <f>$B3 * IFERROR(VLOOKUP("transport|NOx|Infant mortality", US_national_yearly!$D:$AM, 35, FALSE) / VLOOKUP("transport|NOx|Infant mortality", US_national_yearly!$D:$AM, 10, FALSE), 1)</f>
        <v>1.3530857990639212E-6</v>
      </c>
      <c r="AB3" s="7">
        <f>$B3 * IFERROR(VLOOKUP("transport|NOx|Infant mortality", US_national_yearly!$D:$AM, 36, FALSE) / VLOOKUP("transport|NOx|Infant mortality", US_national_yearly!$D:$AM, 10, FALSE), 1)</f>
        <v>1.3439917519441895E-6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5.2530156937923142E-3</v>
      </c>
      <c r="C6" s="7">
        <f>$B6 * IFERROR(VLOOKUP("transport|NOx|Asthma symptoms cough", US_national_yearly!$D:$AM, 11, FALSE) / VLOOKUP("transport|NOx|Asthma symptoms cough", US_national_yearly!$D:$AM, 10, FALSE), 1)</f>
        <v>5.3248330066671479E-3</v>
      </c>
      <c r="D6" s="7">
        <f>$B6 * IFERROR(VLOOKUP("transport|NOx|Asthma symptoms cough", US_national_yearly!$D:$AM, 12, FALSE) / VLOOKUP("transport|NOx|Asthma symptoms cough", US_national_yearly!$D:$AM, 10, FALSE), 1)</f>
        <v>5.3966503195419816E-3</v>
      </c>
      <c r="E6" s="7">
        <f>$B6 * IFERROR(VLOOKUP("transport|NOx|Asthma symptoms cough", US_national_yearly!$D:$AM, 13, FALSE) / VLOOKUP("transport|NOx|Asthma symptoms cough", US_national_yearly!$D:$AM, 10, FALSE), 1)</f>
        <v>5.4684676324168163E-3</v>
      </c>
      <c r="F6" s="7">
        <f>$B6 * IFERROR(VLOOKUP("transport|NOx|Asthma symptoms cough", US_national_yearly!$D:$AM, 14, FALSE) / VLOOKUP("transport|NOx|Asthma symptoms cough", US_national_yearly!$D:$AM, 10, FALSE), 1)</f>
        <v>5.54028494529165E-3</v>
      </c>
      <c r="G6" s="7">
        <f>$B6 * IFERROR(VLOOKUP("transport|NOx|Asthma symptoms cough", US_national_yearly!$D:$AM, 15, FALSE) / VLOOKUP("transport|NOx|Asthma symptoms cough", US_national_yearly!$D:$AM, 10, FALSE), 1)</f>
        <v>5.5976210338307443E-3</v>
      </c>
      <c r="H6" s="7">
        <f>$B6 * IFERROR(VLOOKUP("transport|NOx|Asthma symptoms cough", US_national_yearly!$D:$AM, 16, FALSE) / VLOOKUP("transport|NOx|Asthma symptoms cough", US_national_yearly!$D:$AM, 10, FALSE), 1)</f>
        <v>5.6549571223698395E-3</v>
      </c>
      <c r="I6" s="7">
        <f>$B6 * IFERROR(VLOOKUP("transport|NOx|Asthma symptoms cough", US_national_yearly!$D:$AM, 17, FALSE) / VLOOKUP("transport|NOx|Asthma symptoms cough", US_national_yearly!$D:$AM, 10, FALSE), 1)</f>
        <v>5.6746913843825327E-3</v>
      </c>
      <c r="J6" s="7">
        <f>$B6 * IFERROR(VLOOKUP("transport|NOx|Asthma symptoms cough", US_national_yearly!$D:$AM, 18, FALSE) / VLOOKUP("transport|NOx|Asthma symptoms cough", US_national_yearly!$D:$AM, 10, FALSE), 1)</f>
        <v>5.6944256463952276E-3</v>
      </c>
      <c r="K6" s="7">
        <f>$B6 * IFERROR(VLOOKUP("transport|NOx|Asthma symptoms cough", US_national_yearly!$D:$AM, 19, FALSE) / VLOOKUP("transport|NOx|Asthma symptoms cough", US_national_yearly!$D:$AM, 10, FALSE), 1)</f>
        <v>5.7141599084079208E-3</v>
      </c>
      <c r="L6" s="7">
        <f>$B6 * IFERROR(VLOOKUP("transport|NOx|Asthma symptoms cough", US_national_yearly!$D:$AM, 20, FALSE) / VLOOKUP("transport|NOx|Asthma symptoms cough", US_national_yearly!$D:$AM, 10, FALSE), 1)</f>
        <v>5.7338941704206149E-3</v>
      </c>
      <c r="M6" s="7">
        <f>$B6 * IFERROR(VLOOKUP("transport|NOx|Asthma symptoms cough", US_national_yearly!$D:$AM, 21, FALSE) / VLOOKUP("transport|NOx|Asthma symptoms cough", US_national_yearly!$D:$AM, 10, FALSE), 1)</f>
        <v>5.753628432433309E-3</v>
      </c>
      <c r="N6" s="7">
        <f>$B6 * IFERROR(VLOOKUP("transport|NOx|Asthma symptoms cough", US_national_yearly!$D:$AM, 22, FALSE) / VLOOKUP("transport|NOx|Asthma symptoms cough", US_national_yearly!$D:$AM, 10, FALSE), 1)</f>
        <v>5.776511778793637E-3</v>
      </c>
      <c r="O6" s="7">
        <f>$B6 * IFERROR(VLOOKUP("transport|NOx|Asthma symptoms cough", US_national_yearly!$D:$AM, 23, FALSE) / VLOOKUP("transport|NOx|Asthma symptoms cough", US_national_yearly!$D:$AM, 10, FALSE), 1)</f>
        <v>5.7993951251539659E-3</v>
      </c>
      <c r="P6" s="7">
        <f>$B6 * IFERROR(VLOOKUP("transport|NOx|Asthma symptoms cough", US_national_yearly!$D:$AM, 24, FALSE) / VLOOKUP("transport|NOx|Asthma symptoms cough", US_national_yearly!$D:$AM, 10, FALSE), 1)</f>
        <v>5.8222784715142939E-3</v>
      </c>
      <c r="Q6" s="7">
        <f>$B6 * IFERROR(VLOOKUP("transport|NOx|Asthma symptoms cough", US_national_yearly!$D:$AM, 25, FALSE) / VLOOKUP("transport|NOx|Asthma symptoms cough", US_national_yearly!$D:$AM, 10, FALSE), 1)</f>
        <v>5.8451618178746237E-3</v>
      </c>
      <c r="R6" s="7">
        <f>$B6 * IFERROR(VLOOKUP("transport|NOx|Asthma symptoms cough", US_national_yearly!$D:$AM, 26, FALSE) / VLOOKUP("transport|NOx|Asthma symptoms cough", US_national_yearly!$D:$AM, 10, FALSE), 1)</f>
        <v>5.8680451642349517E-3</v>
      </c>
      <c r="S6" s="7">
        <f>$B6 * IFERROR(VLOOKUP("transport|NOx|Asthma symptoms cough", US_national_yearly!$D:$AM, 27, FALSE) / VLOOKUP("transport|NOx|Asthma symptoms cough", US_national_yearly!$D:$AM, 10, FALSE), 1)</f>
        <v>5.8979381028733506E-3</v>
      </c>
      <c r="T6" s="7">
        <f>$B6 * IFERROR(VLOOKUP("transport|NOx|Asthma symptoms cough", US_national_yearly!$D:$AM, 28, FALSE) / VLOOKUP("transport|NOx|Asthma symptoms cough", US_national_yearly!$D:$AM, 10, FALSE), 1)</f>
        <v>5.9278310415117486E-3</v>
      </c>
      <c r="U6" s="7">
        <f>$B6 * IFERROR(VLOOKUP("transport|NOx|Asthma symptoms cough", US_national_yearly!$D:$AM, 29, FALSE) / VLOOKUP("transport|NOx|Asthma symptoms cough", US_national_yearly!$D:$AM, 10, FALSE), 1)</f>
        <v>5.9577239801501458E-3</v>
      </c>
      <c r="V6" s="7">
        <f>$B6 * IFERROR(VLOOKUP("transport|NOx|Asthma symptoms cough", US_national_yearly!$D:$AM, 30, FALSE) / VLOOKUP("transport|NOx|Asthma symptoms cough", US_national_yearly!$D:$AM, 10, FALSE), 1)</f>
        <v>5.9876169187885447E-3</v>
      </c>
      <c r="W6" s="7">
        <f>$B6 * IFERROR(VLOOKUP("transport|NOx|Asthma symptoms cough", US_national_yearly!$D:$AM, 31, FALSE) / VLOOKUP("transport|NOx|Asthma symptoms cough", US_national_yearly!$D:$AM, 10, FALSE), 1)</f>
        <v>6.0175098574269427E-3</v>
      </c>
      <c r="X6" s="7">
        <f>$B6 * IFERROR(VLOOKUP("transport|NOx|Asthma symptoms cough", US_national_yearly!$D:$AM, 32, FALSE) / VLOOKUP("transport|NOx|Asthma symptoms cough", US_national_yearly!$D:$AM, 10, FALSE), 1)</f>
        <v>6.0452846926052749E-3</v>
      </c>
      <c r="Y6" s="7">
        <f>$B6 * IFERROR(VLOOKUP("transport|NOx|Asthma symptoms cough", US_national_yearly!$D:$AM, 33, FALSE) / VLOOKUP("transport|NOx|Asthma symptoms cough", US_national_yearly!$D:$AM, 10, FALSE), 1)</f>
        <v>6.0730595277836072E-3</v>
      </c>
      <c r="Z6" s="7">
        <f>$B6 * IFERROR(VLOOKUP("transport|NOx|Asthma symptoms cough", US_national_yearly!$D:$AM, 34, FALSE) / VLOOKUP("transport|NOx|Asthma symptoms cough", US_national_yearly!$D:$AM, 10, FALSE), 1)</f>
        <v>6.1008343629619386E-3</v>
      </c>
      <c r="AA6" s="7">
        <f>$B6 * IFERROR(VLOOKUP("transport|NOx|Asthma symptoms cough", US_national_yearly!$D:$AM, 35, FALSE) / VLOOKUP("transport|NOx|Asthma symptoms cough", US_national_yearly!$D:$AM, 10, FALSE), 1)</f>
        <v>6.1286091981402708E-3</v>
      </c>
      <c r="AB6" s="7">
        <f>$B6 * IFERROR(VLOOKUP("transport|NOx|Asthma symptoms cough", US_national_yearly!$D:$AM, 36, FALSE) / VLOOKUP("transport|NOx|Asthma symptoms cough", US_national_yearly!$D:$AM, 10, FALSE), 1)</f>
        <v>6.1563840333186048E-3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7.0734780952573526E-3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7.1701841054227691E-3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7.2668901155881829E-3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7.3635961257535994E-3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7.460302135919015E-3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7.5375083712170884E-3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7.6147146065151609E-3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7.6412878888513138E-3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7.6678611711874668E-3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7.6944344535236197E-3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7.7210077358597735E-3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7.7475810181959264E-3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7.7783947180087845E-3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7.8092084178216425E-3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7.8400221176344997E-3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7.8708358174473577E-3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7.9016495172602157E-3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7.9419020234192794E-3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7.9821545295783447E-3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8.0224070357374083E-3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8.0626595418964702E-3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8.1029120480555356E-3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8.1403124099560555E-3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8.1777127718565754E-3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8.215113133757097E-3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8.2525134956576186E-3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8.2899138575581385E-3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1.0808749985236975E-2</v>
      </c>
      <c r="C8" s="7">
        <f>$B8 * IFERROR(VLOOKUP("transport|NOx|Asthma symptoms wheeze", US_national_yearly!$D:$AM, 11, FALSE) / VLOOKUP("transport|NOx|Asthma symptoms wheeze", US_national_yearly!$D:$AM, 10, FALSE), 1)</f>
        <v>1.0956523269345637E-2</v>
      </c>
      <c r="D8" s="7">
        <f>$B8 * IFERROR(VLOOKUP("transport|NOx|Asthma symptoms wheeze", US_national_yearly!$D:$AM, 12, FALSE) / VLOOKUP("transport|NOx|Asthma symptoms wheeze", US_national_yearly!$D:$AM, 10, FALSE), 1)</f>
        <v>1.1104296553454305E-2</v>
      </c>
      <c r="E8" s="7">
        <f>$B8 * IFERROR(VLOOKUP("transport|NOx|Asthma symptoms wheeze", US_national_yearly!$D:$AM, 13, FALSE) / VLOOKUP("transport|NOx|Asthma symptoms wheeze", US_national_yearly!$D:$AM, 10, FALSE), 1)</f>
        <v>1.1252069837562969E-2</v>
      </c>
      <c r="F8" s="7">
        <f>$B8 * IFERROR(VLOOKUP("transport|NOx|Asthma symptoms wheeze", US_national_yearly!$D:$AM, 14, FALSE) / VLOOKUP("transport|NOx|Asthma symptoms wheeze", US_national_yearly!$D:$AM, 10, FALSE), 1)</f>
        <v>1.1399843121671631E-2</v>
      </c>
      <c r="G8" s="7">
        <f>$B8 * IFERROR(VLOOKUP("transport|NOx|Asthma symptoms wheeze", US_national_yearly!$D:$AM, 15, FALSE) / VLOOKUP("transport|NOx|Asthma symptoms wheeze", US_national_yearly!$D:$AM, 10, FALSE), 1)</f>
        <v>1.1517819439198934E-2</v>
      </c>
      <c r="H8" s="7">
        <f>$B8 * IFERROR(VLOOKUP("transport|NOx|Asthma symptoms wheeze", US_national_yearly!$D:$AM, 16, FALSE) / VLOOKUP("transport|NOx|Asthma symptoms wheeze", US_national_yearly!$D:$AM, 10, FALSE), 1)</f>
        <v>1.163579575672624E-2</v>
      </c>
      <c r="I8" s="7">
        <f>$B8 * IFERROR(VLOOKUP("transport|NOx|Asthma symptoms wheeze", US_national_yearly!$D:$AM, 17, FALSE) / VLOOKUP("transport|NOx|Asthma symptoms wheeze", US_national_yearly!$D:$AM, 10, FALSE), 1)</f>
        <v>1.1676401518809011E-2</v>
      </c>
      <c r="J8" s="7">
        <f>$B8 * IFERROR(VLOOKUP("transport|NOx|Asthma symptoms wheeze", US_national_yearly!$D:$AM, 18, FALSE) / VLOOKUP("transport|NOx|Asthma symptoms wheeze", US_national_yearly!$D:$AM, 10, FALSE), 1)</f>
        <v>1.1717007280891784E-2</v>
      </c>
      <c r="K8" s="7">
        <f>$B8 * IFERROR(VLOOKUP("transport|NOx|Asthma symptoms wheeze", US_national_yearly!$D:$AM, 19, FALSE) / VLOOKUP("transport|NOx|Asthma symptoms wheeze", US_national_yearly!$D:$AM, 10, FALSE), 1)</f>
        <v>1.1757613042974551E-2</v>
      </c>
      <c r="L8" s="7">
        <f>$B8 * IFERROR(VLOOKUP("transport|NOx|Asthma symptoms wheeze", US_national_yearly!$D:$AM, 20, FALSE) / VLOOKUP("transport|NOx|Asthma symptoms wheeze", US_national_yearly!$D:$AM, 10, FALSE), 1)</f>
        <v>1.1798218805057326E-2</v>
      </c>
      <c r="M8" s="7">
        <f>$B8 * IFERROR(VLOOKUP("transport|NOx|Asthma symptoms wheeze", US_national_yearly!$D:$AM, 21, FALSE) / VLOOKUP("transport|NOx|Asthma symptoms wheeze", US_national_yearly!$D:$AM, 10, FALSE), 1)</f>
        <v>1.1838824567140097E-2</v>
      </c>
      <c r="N8" s="7">
        <f>$B8 * IFERROR(VLOOKUP("transport|NOx|Asthma symptoms wheeze", US_national_yearly!$D:$AM, 22, FALSE) / VLOOKUP("transport|NOx|Asthma symptoms wheeze", US_national_yearly!$D:$AM, 10, FALSE), 1)</f>
        <v>1.1885909972094089E-2</v>
      </c>
      <c r="O8" s="7">
        <f>$B8 * IFERROR(VLOOKUP("transport|NOx|Asthma symptoms wheeze", US_national_yearly!$D:$AM, 23, FALSE) / VLOOKUP("transport|NOx|Asthma symptoms wheeze", US_national_yearly!$D:$AM, 10, FALSE), 1)</f>
        <v>1.1932995377048084E-2</v>
      </c>
      <c r="P8" s="7">
        <f>$B8 * IFERROR(VLOOKUP("transport|NOx|Asthma symptoms wheeze", US_national_yearly!$D:$AM, 24, FALSE) / VLOOKUP("transport|NOx|Asthma symptoms wheeze", US_national_yearly!$D:$AM, 10, FALSE), 1)</f>
        <v>1.1980080782002077E-2</v>
      </c>
      <c r="Q8" s="7">
        <f>$B8 * IFERROR(VLOOKUP("transport|NOx|Asthma symptoms wheeze", US_national_yearly!$D:$AM, 25, FALSE) / VLOOKUP("transport|NOx|Asthma symptoms wheeze", US_national_yearly!$D:$AM, 10, FALSE), 1)</f>
        <v>1.2027166186956071E-2</v>
      </c>
      <c r="R8" s="7">
        <f>$B8 * IFERROR(VLOOKUP("transport|NOx|Asthma symptoms wheeze", US_national_yearly!$D:$AM, 26, FALSE) / VLOOKUP("transport|NOx|Asthma symptoms wheeze", US_national_yearly!$D:$AM, 10, FALSE), 1)</f>
        <v>1.2074251591910064E-2</v>
      </c>
      <c r="S8" s="7">
        <f>$B8 * IFERROR(VLOOKUP("transport|NOx|Asthma symptoms wheeze", US_national_yearly!$D:$AM, 27, FALSE) / VLOOKUP("transport|NOx|Asthma symptoms wheeze", US_national_yearly!$D:$AM, 10, FALSE), 1)</f>
        <v>1.2135760127333898E-2</v>
      </c>
      <c r="T8" s="7">
        <f>$B8 * IFERROR(VLOOKUP("transport|NOx|Asthma symptoms wheeze", US_national_yearly!$D:$AM, 28, FALSE) / VLOOKUP("transport|NOx|Asthma symptoms wheeze", US_national_yearly!$D:$AM, 10, FALSE), 1)</f>
        <v>1.219726866275773E-2</v>
      </c>
      <c r="U8" s="7">
        <f>$B8 * IFERROR(VLOOKUP("transport|NOx|Asthma symptoms wheeze", US_national_yearly!$D:$AM, 29, FALSE) / VLOOKUP("transport|NOx|Asthma symptoms wheeze", US_national_yearly!$D:$AM, 10, FALSE), 1)</f>
        <v>1.2258777198181562E-2</v>
      </c>
      <c r="V8" s="7">
        <f>$B8 * IFERROR(VLOOKUP("transport|NOx|Asthma symptoms wheeze", US_national_yearly!$D:$AM, 30, FALSE) / VLOOKUP("transport|NOx|Asthma symptoms wheeze", US_national_yearly!$D:$AM, 10, FALSE), 1)</f>
        <v>1.2320285733605397E-2</v>
      </c>
      <c r="W8" s="7">
        <f>$B8 * IFERROR(VLOOKUP("transport|NOx|Asthma symptoms wheeze", US_national_yearly!$D:$AM, 31, FALSE) / VLOOKUP("transport|NOx|Asthma symptoms wheeze", US_national_yearly!$D:$AM, 10, FALSE), 1)</f>
        <v>1.2381794269029228E-2</v>
      </c>
      <c r="X8" s="7">
        <f>$B8 * IFERROR(VLOOKUP("transport|NOx|Asthma symptoms wheeze", US_national_yearly!$D:$AM, 32, FALSE) / VLOOKUP("transport|NOx|Asthma symptoms wheeze", US_national_yearly!$D:$AM, 10, FALSE), 1)</f>
        <v>1.2438944536306151E-2</v>
      </c>
      <c r="Y8" s="7">
        <f>$B8 * IFERROR(VLOOKUP("transport|NOx|Asthma symptoms wheeze", US_national_yearly!$D:$AM, 33, FALSE) / VLOOKUP("transport|NOx|Asthma symptoms wheeze", US_national_yearly!$D:$AM, 10, FALSE), 1)</f>
        <v>1.2496094803583071E-2</v>
      </c>
      <c r="Z8" s="7">
        <f>$B8 * IFERROR(VLOOKUP("transport|NOx|Asthma symptoms wheeze", US_national_yearly!$D:$AM, 34, FALSE) / VLOOKUP("transport|NOx|Asthma symptoms wheeze", US_national_yearly!$D:$AM, 10, FALSE), 1)</f>
        <v>1.2553245070859994E-2</v>
      </c>
      <c r="AA8" s="7">
        <f>$B8 * IFERROR(VLOOKUP("transport|NOx|Asthma symptoms wheeze", US_national_yearly!$D:$AM, 35, FALSE) / VLOOKUP("transport|NOx|Asthma symptoms wheeze", US_national_yearly!$D:$AM, 10, FALSE), 1)</f>
        <v>1.2610395338136916E-2</v>
      </c>
      <c r="AB8" s="7">
        <f>$B8 * IFERROR(VLOOKUP("transport|NOx|Asthma symptoms wheeze", US_national_yearly!$D:$AM, 36, FALSE) / VLOOKUP("transport|NOx|Asthma symptoms wheeze", US_national_yearly!$D:$AM, 10, FALSE), 1)</f>
        <v>1.2667545605413839E-2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5.7622012970497328E-5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5.9059374763534812E-5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6.049673655657231E-5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6.1934098349609808E-5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6.3371460142647306E-5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6.4745626938763143E-5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6.6119793734878979E-5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6.728648959479173E-5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6.8453185454704467E-5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6.9619881314617217E-5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7.0786577174529968E-5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7.1953273034442718E-5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7.2733230222639248E-5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7.3513187410835791E-5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7.4293144599032335E-5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7.5073101787228878E-5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7.5853058975425421E-5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7.6270938902469389E-5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7.6688818829513357E-5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7.7106698756557326E-5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7.7524578683601294E-5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7.7942458610645276E-5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7.8228025251288565E-5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7.8513591891931869E-5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7.8799158532575158E-5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7.9084725173218462E-5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7.9370291813861751E-5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3.9828195211755331E-4</v>
      </c>
      <c r="C13" s="7">
        <f>$B13 * IFERROR(VLOOKUP("transport|NOx|Non-fatal heart attacks", US_national_yearly!$D:$AM, 11, FALSE) / VLOOKUP("transport|NOx|Non-fatal heart attacks", US_national_yearly!$D:$AM, 10, FALSE), 1)</f>
        <v>4.0966848221980556E-4</v>
      </c>
      <c r="D13" s="7">
        <f>$B13 * IFERROR(VLOOKUP("transport|NOx|Non-fatal heart attacks", US_national_yearly!$D:$AM, 12, FALSE) / VLOOKUP("transport|NOx|Non-fatal heart attacks", US_national_yearly!$D:$AM, 10, FALSE), 1)</f>
        <v>4.210550123220578E-4</v>
      </c>
      <c r="E13" s="7">
        <f>$B13 * IFERROR(VLOOKUP("transport|NOx|Non-fatal heart attacks", US_national_yearly!$D:$AM, 13, FALSE) / VLOOKUP("transport|NOx|Non-fatal heart attacks", US_national_yearly!$D:$AM, 10, FALSE), 1)</f>
        <v>4.3244154242430994E-4</v>
      </c>
      <c r="F13" s="7">
        <f>$B13 * IFERROR(VLOOKUP("transport|NOx|Non-fatal heart attacks", US_national_yearly!$D:$AM, 14, FALSE) / VLOOKUP("transport|NOx|Non-fatal heart attacks", US_national_yearly!$D:$AM, 10, FALSE), 1)</f>
        <v>4.4382807252656218E-4</v>
      </c>
      <c r="G13" s="7">
        <f>$B13 * IFERROR(VLOOKUP("transport|NOx|Non-fatal heart attacks", US_national_yearly!$D:$AM, 15, FALSE) / VLOOKUP("transport|NOx|Non-fatal heart attacks", US_national_yearly!$D:$AM, 10, FALSE), 1)</f>
        <v>4.5446876124195492E-4</v>
      </c>
      <c r="H13" s="7">
        <f>$B13 * IFERROR(VLOOKUP("transport|NOx|Non-fatal heart attacks", US_national_yearly!$D:$AM, 16, FALSE) / VLOOKUP("transport|NOx|Non-fatal heart attacks", US_national_yearly!$D:$AM, 10, FALSE), 1)</f>
        <v>4.6510944995734759E-4</v>
      </c>
      <c r="I13" s="7">
        <f>$B13 * IFERROR(VLOOKUP("transport|NOx|Non-fatal heart attacks", US_national_yearly!$D:$AM, 17, FALSE) / VLOOKUP("transport|NOx|Non-fatal heart attacks", US_national_yearly!$D:$AM, 10, FALSE), 1)</f>
        <v>4.7349841666257617E-4</v>
      </c>
      <c r="J13" s="7">
        <f>$B13 * IFERROR(VLOOKUP("transport|NOx|Non-fatal heart attacks", US_national_yearly!$D:$AM, 18, FALSE) / VLOOKUP("transport|NOx|Non-fatal heart attacks", US_national_yearly!$D:$AM, 10, FALSE), 1)</f>
        <v>4.818873833678048E-4</v>
      </c>
      <c r="K13" s="7">
        <f>$B13 * IFERROR(VLOOKUP("transport|NOx|Non-fatal heart attacks", US_national_yearly!$D:$AM, 19, FALSE) / VLOOKUP("transport|NOx|Non-fatal heart attacks", US_national_yearly!$D:$AM, 10, FALSE), 1)</f>
        <v>4.9027635007303305E-4</v>
      </c>
      <c r="L13" s="7">
        <f>$B13 * IFERROR(VLOOKUP("transport|NOx|Non-fatal heart attacks", US_national_yearly!$D:$AM, 20, FALSE) / VLOOKUP("transport|NOx|Non-fatal heart attacks", US_national_yearly!$D:$AM, 10, FALSE), 1)</f>
        <v>4.9866531677826196E-4</v>
      </c>
      <c r="M13" s="7">
        <f>$B13 * IFERROR(VLOOKUP("transport|NOx|Non-fatal heart attacks", US_national_yearly!$D:$AM, 21, FALSE) / VLOOKUP("transport|NOx|Non-fatal heart attacks", US_national_yearly!$D:$AM, 10, FALSE), 1)</f>
        <v>5.0705428348349043E-4</v>
      </c>
      <c r="N13" s="7">
        <f>$B13 * IFERROR(VLOOKUP("transport|NOx|Non-fatal heart attacks", US_national_yearly!$D:$AM, 22, FALSE) / VLOOKUP("transport|NOx|Non-fatal heart attacks", US_national_yearly!$D:$AM, 10, FALSE), 1)</f>
        <v>5.1210134026200688E-4</v>
      </c>
      <c r="O13" s="7">
        <f>$B13 * IFERROR(VLOOKUP("transport|NOx|Non-fatal heart attacks", US_national_yearly!$D:$AM, 23, FALSE) / VLOOKUP("transport|NOx|Non-fatal heart attacks", US_national_yearly!$D:$AM, 10, FALSE), 1)</f>
        <v>5.1714839704052333E-4</v>
      </c>
      <c r="P13" s="7">
        <f>$B13 * IFERROR(VLOOKUP("transport|NOx|Non-fatal heart attacks", US_national_yearly!$D:$AM, 24, FALSE) / VLOOKUP("transport|NOx|Non-fatal heart attacks", US_national_yearly!$D:$AM, 10, FALSE), 1)</f>
        <v>5.2219545381903968E-4</v>
      </c>
      <c r="Q13" s="7">
        <f>$B13 * IFERROR(VLOOKUP("transport|NOx|Non-fatal heart attacks", US_national_yearly!$D:$AM, 25, FALSE) / VLOOKUP("transport|NOx|Non-fatal heart attacks", US_national_yearly!$D:$AM, 10, FALSE), 1)</f>
        <v>5.2724251059755613E-4</v>
      </c>
      <c r="R13" s="7">
        <f>$B13 * IFERROR(VLOOKUP("transport|NOx|Non-fatal heart attacks", US_national_yearly!$D:$AM, 26, FALSE) / VLOOKUP("transport|NOx|Non-fatal heart attacks", US_national_yearly!$D:$AM, 10, FALSE), 1)</f>
        <v>5.3228956737607258E-4</v>
      </c>
      <c r="S13" s="7">
        <f>$B13 * IFERROR(VLOOKUP("transport|NOx|Non-fatal heart attacks", US_national_yearly!$D:$AM, 27, FALSE) / VLOOKUP("transport|NOx|Non-fatal heart attacks", US_national_yearly!$D:$AM, 10, FALSE), 1)</f>
        <v>5.3457894723812991E-4</v>
      </c>
      <c r="T13" s="7">
        <f>$B13 * IFERROR(VLOOKUP("transport|NOx|Non-fatal heart attacks", US_national_yearly!$D:$AM, 28, FALSE) / VLOOKUP("transport|NOx|Non-fatal heart attacks", US_national_yearly!$D:$AM, 10, FALSE), 1)</f>
        <v>5.3686832710018713E-4</v>
      </c>
      <c r="U13" s="7">
        <f>$B13 * IFERROR(VLOOKUP("transport|NOx|Non-fatal heart attacks", US_national_yearly!$D:$AM, 29, FALSE) / VLOOKUP("transport|NOx|Non-fatal heart attacks", US_national_yearly!$D:$AM, 10, FALSE), 1)</f>
        <v>5.3915770696224446E-4</v>
      </c>
      <c r="V13" s="7">
        <f>$B13 * IFERROR(VLOOKUP("transport|NOx|Non-fatal heart attacks", US_national_yearly!$D:$AM, 30, FALSE) / VLOOKUP("transport|NOx|Non-fatal heart attacks", US_national_yearly!$D:$AM, 10, FALSE), 1)</f>
        <v>5.4144708682430178E-4</v>
      </c>
      <c r="W13" s="7">
        <f>$B13 * IFERROR(VLOOKUP("transport|NOx|Non-fatal heart attacks", US_national_yearly!$D:$AM, 31, FALSE) / VLOOKUP("transport|NOx|Non-fatal heart attacks", US_national_yearly!$D:$AM, 10, FALSE), 1)</f>
        <v>5.4373646668635911E-4</v>
      </c>
      <c r="X13" s="7">
        <f>$B13 * IFERROR(VLOOKUP("transport|NOx|Non-fatal heart attacks", US_national_yearly!$D:$AM, 32, FALSE) / VLOOKUP("transport|NOx|Non-fatal heart attacks", US_national_yearly!$D:$AM, 10, FALSE), 1)</f>
        <v>5.4526635077325732E-4</v>
      </c>
      <c r="Y13" s="7">
        <f>$B13 * IFERROR(VLOOKUP("transport|NOx|Non-fatal heart attacks", US_national_yearly!$D:$AM, 33, FALSE) / VLOOKUP("transport|NOx|Non-fatal heart attacks", US_national_yearly!$D:$AM, 10, FALSE), 1)</f>
        <v>5.4679623486015552E-4</v>
      </c>
      <c r="Z13" s="7">
        <f>$B13 * IFERROR(VLOOKUP("transport|NOx|Non-fatal heart attacks", US_national_yearly!$D:$AM, 34, FALSE) / VLOOKUP("transport|NOx|Non-fatal heart attacks", US_national_yearly!$D:$AM, 10, FALSE), 1)</f>
        <v>5.4832611894705362E-4</v>
      </c>
      <c r="AA13" s="7">
        <f>$B13 * IFERROR(VLOOKUP("transport|NOx|Non-fatal heart attacks", US_national_yearly!$D:$AM, 35, FALSE) / VLOOKUP("transport|NOx|Non-fatal heart attacks", US_national_yearly!$D:$AM, 10, FALSE), 1)</f>
        <v>5.4985600303395182E-4</v>
      </c>
      <c r="AB13" s="7">
        <f>$B13 * IFERROR(VLOOKUP("transport|NOx|Non-fatal heart attacks", US_national_yearly!$D:$AM, 36, FALSE) / VLOOKUP("transport|NOx|Non-fatal heart attacks", US_national_yearly!$D:$AM, 10, FALSE), 1)</f>
        <v>5.5138588712085013E-4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0.50473240129887809</v>
      </c>
      <c r="C14" s="7">
        <f>$B14 * IFERROR(VLOOKUP("transport|NOx|Minor restricted activity days", US_national_yearly!$D:$AM, 11, FALSE) / VLOOKUP("transport|NOx|Minor restricted activity days", US_national_yearly!$D:$AM, 10, FALSE), 1)</f>
        <v>0.50550624077356554</v>
      </c>
      <c r="D14" s="7">
        <f>$B14 * IFERROR(VLOOKUP("transport|NOx|Minor restricted activity days", US_national_yearly!$D:$AM, 12, FALSE) / VLOOKUP("transport|NOx|Minor restricted activity days", US_national_yearly!$D:$AM, 10, FALSE), 1)</f>
        <v>0.50628008024825299</v>
      </c>
      <c r="E14" s="7">
        <f>$B14 * IFERROR(VLOOKUP("transport|NOx|Minor restricted activity days", US_national_yearly!$D:$AM, 13, FALSE) / VLOOKUP("transport|NOx|Minor restricted activity days", US_national_yearly!$D:$AM, 10, FALSE), 1)</f>
        <v>0.50705391972294056</v>
      </c>
      <c r="F14" s="7">
        <f>$B14 * IFERROR(VLOOKUP("transport|NOx|Minor restricted activity days", US_national_yearly!$D:$AM, 14, FALSE) / VLOOKUP("transport|NOx|Minor restricted activity days", US_national_yearly!$D:$AM, 10, FALSE), 1)</f>
        <v>0.50782775919762801</v>
      </c>
      <c r="G14" s="7">
        <f>$B14 * IFERROR(VLOOKUP("transport|NOx|Minor restricted activity days", US_national_yearly!$D:$AM, 15, FALSE) / VLOOKUP("transport|NOx|Minor restricted activity days", US_national_yearly!$D:$AM, 10, FALSE), 1)</f>
        <v>0.50922512909929141</v>
      </c>
      <c r="H14" s="7">
        <f>$B14 * IFERROR(VLOOKUP("transport|NOx|Minor restricted activity days", US_national_yearly!$D:$AM, 16, FALSE) / VLOOKUP("transport|NOx|Minor restricted activity days", US_national_yearly!$D:$AM, 10, FALSE), 1)</f>
        <v>0.51062249900095469</v>
      </c>
      <c r="I14" s="7">
        <f>$B14 * IFERROR(VLOOKUP("transport|NOx|Minor restricted activity days", US_national_yearly!$D:$AM, 17, FALSE) / VLOOKUP("transport|NOx|Minor restricted activity days", US_national_yearly!$D:$AM, 10, FALSE), 1)</f>
        <v>0.51335569927088454</v>
      </c>
      <c r="J14" s="7">
        <f>$B14 * IFERROR(VLOOKUP("transport|NOx|Minor restricted activity days", US_national_yearly!$D:$AM, 18, FALSE) / VLOOKUP("transport|NOx|Minor restricted activity days", US_national_yearly!$D:$AM, 10, FALSE), 1)</f>
        <v>0.51608889954081427</v>
      </c>
      <c r="K14" s="7">
        <f>$B14 * IFERROR(VLOOKUP("transport|NOx|Minor restricted activity days", US_national_yearly!$D:$AM, 19, FALSE) / VLOOKUP("transport|NOx|Minor restricted activity days", US_national_yearly!$D:$AM, 10, FALSE), 1)</f>
        <v>0.51882209981074423</v>
      </c>
      <c r="L14" s="7">
        <f>$B14 * IFERROR(VLOOKUP("transport|NOx|Minor restricted activity days", US_national_yearly!$D:$AM, 20, FALSE) / VLOOKUP("transport|NOx|Minor restricted activity days", US_national_yearly!$D:$AM, 10, FALSE), 1)</f>
        <v>0.52155530008067397</v>
      </c>
      <c r="M14" s="7">
        <f>$B14 * IFERROR(VLOOKUP("transport|NOx|Minor restricted activity days", US_national_yearly!$D:$AM, 21, FALSE) / VLOOKUP("transport|NOx|Minor restricted activity days", US_national_yearly!$D:$AM, 10, FALSE), 1)</f>
        <v>0.52428850035060381</v>
      </c>
      <c r="N14" s="7">
        <f>$B14 * IFERROR(VLOOKUP("transport|NOx|Minor restricted activity days", US_national_yearly!$D:$AM, 22, FALSE) / VLOOKUP("transport|NOx|Minor restricted activity days", US_national_yearly!$D:$AM, 10, FALSE), 1)</f>
        <v>0.5282018233974054</v>
      </c>
      <c r="O14" s="7">
        <f>$B14 * IFERROR(VLOOKUP("transport|NOx|Minor restricted activity days", US_national_yearly!$D:$AM, 23, FALSE) / VLOOKUP("transport|NOx|Minor restricted activity days", US_national_yearly!$D:$AM, 10, FALSE), 1)</f>
        <v>0.53211514644420699</v>
      </c>
      <c r="P14" s="7">
        <f>$B14 * IFERROR(VLOOKUP("transport|NOx|Minor restricted activity days", US_national_yearly!$D:$AM, 24, FALSE) / VLOOKUP("transport|NOx|Minor restricted activity days", US_national_yearly!$D:$AM, 10, FALSE), 1)</f>
        <v>0.53602846949100846</v>
      </c>
      <c r="Q14" s="7">
        <f>$B14 * IFERROR(VLOOKUP("transport|NOx|Minor restricted activity days", US_national_yearly!$D:$AM, 25, FALSE) / VLOOKUP("transport|NOx|Minor restricted activity days", US_national_yearly!$D:$AM, 10, FALSE), 1)</f>
        <v>0.53994179253781005</v>
      </c>
      <c r="R14" s="7">
        <f>$B14 * IFERROR(VLOOKUP("transport|NOx|Minor restricted activity days", US_national_yearly!$D:$AM, 26, FALSE) / VLOOKUP("transport|NOx|Minor restricted activity days", US_national_yearly!$D:$AM, 10, FALSE), 1)</f>
        <v>0.54385511558461164</v>
      </c>
      <c r="S14" s="7">
        <f>$B14 * IFERROR(VLOOKUP("transport|NOx|Minor restricted activity days", US_national_yearly!$D:$AM, 27, FALSE) / VLOOKUP("transport|NOx|Minor restricted activity days", US_national_yearly!$D:$AM, 10, FALSE), 1)</f>
        <v>0.54776761586361844</v>
      </c>
      <c r="T14" s="7">
        <f>$B14 * IFERROR(VLOOKUP("transport|NOx|Minor restricted activity days", US_national_yearly!$D:$AM, 28, FALSE) / VLOOKUP("transport|NOx|Minor restricted activity days", US_national_yearly!$D:$AM, 10, FALSE), 1)</f>
        <v>0.55168011614262513</v>
      </c>
      <c r="U14" s="7">
        <f>$B14 * IFERROR(VLOOKUP("transport|NOx|Minor restricted activity days", US_national_yearly!$D:$AM, 29, FALSE) / VLOOKUP("transport|NOx|Minor restricted activity days", US_national_yearly!$D:$AM, 10, FALSE), 1)</f>
        <v>0.55559261642163194</v>
      </c>
      <c r="V14" s="7">
        <f>$B14 * IFERROR(VLOOKUP("transport|NOx|Minor restricted activity days", US_national_yearly!$D:$AM, 30, FALSE) / VLOOKUP("transport|NOx|Minor restricted activity days", US_national_yearly!$D:$AM, 10, FALSE), 1)</f>
        <v>0.55950511670063885</v>
      </c>
      <c r="W14" s="7">
        <f>$B14 * IFERROR(VLOOKUP("transport|NOx|Minor restricted activity days", US_national_yearly!$D:$AM, 31, FALSE) / VLOOKUP("transport|NOx|Minor restricted activity days", US_national_yearly!$D:$AM, 10, FALSE), 1)</f>
        <v>0.56341761697964554</v>
      </c>
      <c r="X14" s="7">
        <f>$B14 * IFERROR(VLOOKUP("transport|NOx|Minor restricted activity days", US_national_yearly!$D:$AM, 32, FALSE) / VLOOKUP("transport|NOx|Minor restricted activity days", US_national_yearly!$D:$AM, 10, FALSE), 1)</f>
        <v>0.56672548691560076</v>
      </c>
      <c r="Y14" s="7">
        <f>$B14 * IFERROR(VLOOKUP("transport|NOx|Minor restricted activity days", US_national_yearly!$D:$AM, 33, FALSE) / VLOOKUP("transport|NOx|Minor restricted activity days", US_national_yearly!$D:$AM, 10, FALSE), 1)</f>
        <v>0.57003335685155598</v>
      </c>
      <c r="Z14" s="7">
        <f>$B14 * IFERROR(VLOOKUP("transport|NOx|Minor restricted activity days", US_national_yearly!$D:$AM, 34, FALSE) / VLOOKUP("transport|NOx|Minor restricted activity days", US_national_yearly!$D:$AM, 10, FALSE), 1)</f>
        <v>0.57334122678751132</v>
      </c>
      <c r="AA14" s="7">
        <f>$B14 * IFERROR(VLOOKUP("transport|NOx|Minor restricted activity days", US_national_yearly!$D:$AM, 35, FALSE) / VLOOKUP("transport|NOx|Minor restricted activity days", US_national_yearly!$D:$AM, 10, FALSE), 1)</f>
        <v>0.57664909672346654</v>
      </c>
      <c r="AB14" s="7">
        <f>$B14 * IFERROR(VLOOKUP("transport|NOx|Minor restricted activity days", US_national_yearly!$D:$AM, 36, FALSE) / VLOOKUP("transport|NOx|Minor restricted activity days", US_national_yearly!$D:$AM, 10, FALSE), 1)</f>
        <v>0.57995696665942176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8.6517191443783767E-2</v>
      </c>
      <c r="C15" s="7">
        <f>$B15 * IFERROR(VLOOKUP("transport|NOx|Work loss days", US_national_yearly!$D:$AM, 11, FALSE) / VLOOKUP("transport|NOx|Work loss days", US_national_yearly!$D:$AM, 10, FALSE), 1)</f>
        <v>8.670964428181957E-2</v>
      </c>
      <c r="D15" s="7">
        <f>$B15 * IFERROR(VLOOKUP("transport|NOx|Work loss days", US_national_yearly!$D:$AM, 12, FALSE) / VLOOKUP("transport|NOx|Work loss days", US_national_yearly!$D:$AM, 10, FALSE), 1)</f>
        <v>8.6902097119855387E-2</v>
      </c>
      <c r="E15" s="7">
        <f>$B15 * IFERROR(VLOOKUP("transport|NOx|Work loss days", US_national_yearly!$D:$AM, 13, FALSE) / VLOOKUP("transport|NOx|Work loss days", US_national_yearly!$D:$AM, 10, FALSE), 1)</f>
        <v>8.709454995789119E-2</v>
      </c>
      <c r="F15" s="7">
        <f>$B15 * IFERROR(VLOOKUP("transport|NOx|Work loss days", US_national_yearly!$D:$AM, 14, FALSE) / VLOOKUP("transport|NOx|Work loss days", US_national_yearly!$D:$AM, 10, FALSE), 1)</f>
        <v>8.7287002795927021E-2</v>
      </c>
      <c r="G15" s="7">
        <f>$B15 * IFERROR(VLOOKUP("transport|NOx|Work loss days", US_national_yearly!$D:$AM, 15, FALSE) / VLOOKUP("transport|NOx|Work loss days", US_national_yearly!$D:$AM, 10, FALSE), 1)</f>
        <v>8.7567985581167462E-2</v>
      </c>
      <c r="H15" s="7">
        <f>$B15 * IFERROR(VLOOKUP("transport|NOx|Work loss days", US_national_yearly!$D:$AM, 16, FALSE) / VLOOKUP("transport|NOx|Work loss days", US_national_yearly!$D:$AM, 10, FALSE), 1)</f>
        <v>8.7848968366407917E-2</v>
      </c>
      <c r="I15" s="7">
        <f>$B15 * IFERROR(VLOOKUP("transport|NOx|Work loss days", US_national_yearly!$D:$AM, 17, FALSE) / VLOOKUP("transport|NOx|Work loss days", US_national_yearly!$D:$AM, 10, FALSE), 1)</f>
        <v>8.8304145250293509E-2</v>
      </c>
      <c r="J15" s="7">
        <f>$B15 * IFERROR(VLOOKUP("transport|NOx|Work loss days", US_national_yearly!$D:$AM, 18, FALSE) / VLOOKUP("transport|NOx|Work loss days", US_national_yearly!$D:$AM, 10, FALSE), 1)</f>
        <v>8.8759322134179128E-2</v>
      </c>
      <c r="K15" s="7">
        <f>$B15 * IFERROR(VLOOKUP("transport|NOx|Work loss days", US_national_yearly!$D:$AM, 19, FALSE) / VLOOKUP("transport|NOx|Work loss days", US_national_yearly!$D:$AM, 10, FALSE), 1)</f>
        <v>8.9214499018064733E-2</v>
      </c>
      <c r="L15" s="7">
        <f>$B15 * IFERROR(VLOOKUP("transport|NOx|Work loss days", US_national_yearly!$D:$AM, 20, FALSE) / VLOOKUP("transport|NOx|Work loss days", US_national_yearly!$D:$AM, 10, FALSE), 1)</f>
        <v>8.9669675901950324E-2</v>
      </c>
      <c r="M15" s="7">
        <f>$B15 * IFERROR(VLOOKUP("transport|NOx|Work loss days", US_national_yearly!$D:$AM, 21, FALSE) / VLOOKUP("transport|NOx|Work loss days", US_national_yearly!$D:$AM, 10, FALSE), 1)</f>
        <v>9.0124852785835943E-2</v>
      </c>
      <c r="N15" s="7">
        <f>$B15 * IFERROR(VLOOKUP("transport|NOx|Work loss days", US_national_yearly!$D:$AM, 22, FALSE) / VLOOKUP("transport|NOx|Work loss days", US_national_yearly!$D:$AM, 10, FALSE), 1)</f>
        <v>9.0717237569315323E-2</v>
      </c>
      <c r="O15" s="7">
        <f>$B15 * IFERROR(VLOOKUP("transport|NOx|Work loss days", US_national_yearly!$D:$AM, 23, FALSE) / VLOOKUP("transport|NOx|Work loss days", US_national_yearly!$D:$AM, 10, FALSE), 1)</f>
        <v>9.1309622352794717E-2</v>
      </c>
      <c r="P15" s="7">
        <f>$B15 * IFERROR(VLOOKUP("transport|NOx|Work loss days", US_national_yearly!$D:$AM, 24, FALSE) / VLOOKUP("transport|NOx|Work loss days", US_national_yearly!$D:$AM, 10, FALSE), 1)</f>
        <v>9.1902007136274111E-2</v>
      </c>
      <c r="Q15" s="7">
        <f>$B15 * IFERROR(VLOOKUP("transport|NOx|Work loss days", US_national_yearly!$D:$AM, 25, FALSE) / VLOOKUP("transport|NOx|Work loss days", US_national_yearly!$D:$AM, 10, FALSE), 1)</f>
        <v>9.2494391919753477E-2</v>
      </c>
      <c r="R15" s="7">
        <f>$B15 * IFERROR(VLOOKUP("transport|NOx|Work loss days", US_national_yearly!$D:$AM, 26, FALSE) / VLOOKUP("transport|NOx|Work loss days", US_national_yearly!$D:$AM, 10, FALSE), 1)</f>
        <v>9.3086776703232885E-2</v>
      </c>
      <c r="S15" s="7">
        <f>$B15 * IFERROR(VLOOKUP("transport|NOx|Work loss days", US_national_yearly!$D:$AM, 27, FALSE) / VLOOKUP("transport|NOx|Work loss days", US_national_yearly!$D:$AM, 10, FALSE), 1)</f>
        <v>9.3747209993306435E-2</v>
      </c>
      <c r="T15" s="7">
        <f>$B15 * IFERROR(VLOOKUP("transport|NOx|Work loss days", US_national_yearly!$D:$AM, 28, FALSE) / VLOOKUP("transport|NOx|Work loss days", US_national_yearly!$D:$AM, 10, FALSE), 1)</f>
        <v>9.4407643283379986E-2</v>
      </c>
      <c r="U15" s="7">
        <f>$B15 * IFERROR(VLOOKUP("transport|NOx|Work loss days", US_national_yearly!$D:$AM, 29, FALSE) / VLOOKUP("transport|NOx|Work loss days", US_national_yearly!$D:$AM, 10, FALSE), 1)</f>
        <v>9.5068076573453522E-2</v>
      </c>
      <c r="V15" s="7">
        <f>$B15 * IFERROR(VLOOKUP("transport|NOx|Work loss days", US_national_yearly!$D:$AM, 30, FALSE) / VLOOKUP("transport|NOx|Work loss days", US_national_yearly!$D:$AM, 10, FALSE), 1)</f>
        <v>9.5728509863527086E-2</v>
      </c>
      <c r="W15" s="7">
        <f>$B15 * IFERROR(VLOOKUP("transport|NOx|Work loss days", US_national_yearly!$D:$AM, 31, FALSE) / VLOOKUP("transport|NOx|Work loss days", US_national_yearly!$D:$AM, 10, FALSE), 1)</f>
        <v>9.6388943153600637E-2</v>
      </c>
      <c r="X15" s="7">
        <f>$B15 * IFERROR(VLOOKUP("transport|NOx|Work loss days", US_national_yearly!$D:$AM, 32, FALSE) / VLOOKUP("transport|NOx|Work loss days", US_national_yearly!$D:$AM, 10, FALSE), 1)</f>
        <v>9.6962164037234094E-2</v>
      </c>
      <c r="Y15" s="7">
        <f>$B15 * IFERROR(VLOOKUP("transport|NOx|Work loss days", US_national_yearly!$D:$AM, 33, FALSE) / VLOOKUP("transport|NOx|Work loss days", US_national_yearly!$D:$AM, 10, FALSE), 1)</f>
        <v>9.7535384920867538E-2</v>
      </c>
      <c r="Z15" s="7">
        <f>$B15 * IFERROR(VLOOKUP("transport|NOx|Work loss days", US_national_yearly!$D:$AM, 34, FALSE) / VLOOKUP("transport|NOx|Work loss days", US_national_yearly!$D:$AM, 10, FALSE), 1)</f>
        <v>9.8108605804500995E-2</v>
      </c>
      <c r="AA15" s="7">
        <f>$B15 * IFERROR(VLOOKUP("transport|NOx|Work loss days", US_national_yearly!$D:$AM, 35, FALSE) / VLOOKUP("transport|NOx|Work loss days", US_national_yearly!$D:$AM, 10, FALSE), 1)</f>
        <v>9.8681826688134439E-2</v>
      </c>
      <c r="AB15" s="7">
        <f>$B15 * IFERROR(VLOOKUP("transport|NOx|Work loss days", US_national_yearly!$D:$AM, 36, FALSE) / VLOOKUP("transport|NOx|Work loss days", US_national_yearly!$D:$AM, 10, FALSE), 1)</f>
        <v>9.9255047571767896E-2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7.5680246586698564E-5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7.7904082760863312E-5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8.0127918935028061E-5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8.2351755109192796E-5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8.4575591283357545E-5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8.6687867882799608E-5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8.8800144482241685E-5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9.0576406149430407E-5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9.2352667816619115E-5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9.4128929483807823E-5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9.5905191150996532E-5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9.7681452818185253E-5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9.8792208094728256E-5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9.9902963371271286E-5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1.0101371864781429E-4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1.021244739243573E-4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1.0323522920090032E-4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1.0374203633171307E-4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1.0424884346252581E-4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1.0475565059333853E-4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1.0526245772415128E-4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1.0576926485496402E-4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1.0605132059406934E-4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1.0633337633317465E-4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1.0661543207227998E-4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1.068974878113853E-4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1.0717954355049061E-4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2.3266914281665444E-3</v>
      </c>
      <c r="C2" s="7">
        <f>$B2 * IFERROR(VLOOKUP("transport|SO2|Premature mortality", US_national_yearly!$D:$AM, 11, FALSE) / VLOOKUP("transport|SO2|Premature mortality", US_national_yearly!$D:$AM, 10, FALSE), 1)</f>
        <v>2.3561577162143003E-3</v>
      </c>
      <c r="D2" s="7">
        <f>$B2 * IFERROR(VLOOKUP("transport|SO2|Premature mortality", US_national_yearly!$D:$AM, 12, FALSE) / VLOOKUP("transport|SO2|Premature mortality", US_national_yearly!$D:$AM, 10, FALSE), 1)</f>
        <v>2.3856240042620567E-3</v>
      </c>
      <c r="E2" s="7">
        <f>$B2 * IFERROR(VLOOKUP("transport|SO2|Premature mortality", US_national_yearly!$D:$AM, 13, FALSE) / VLOOKUP("transport|SO2|Premature mortality", US_national_yearly!$D:$AM, 10, FALSE), 1)</f>
        <v>2.4150902923098126E-3</v>
      </c>
      <c r="F2" s="7">
        <f>$B2 * IFERROR(VLOOKUP("transport|SO2|Premature mortality", US_national_yearly!$D:$AM, 14, FALSE) / VLOOKUP("transport|SO2|Premature mortality", US_national_yearly!$D:$AM, 10, FALSE), 1)</f>
        <v>2.4445565803575685E-3</v>
      </c>
      <c r="G2" s="7">
        <f>$B2 * IFERROR(VLOOKUP("transport|SO2|Premature mortality", US_national_yearly!$D:$AM, 15, FALSE) / VLOOKUP("transport|SO2|Premature mortality", US_national_yearly!$D:$AM, 10, FALSE), 1)</f>
        <v>2.5013364474575535E-3</v>
      </c>
      <c r="H2" s="7">
        <f>$B2 * IFERROR(VLOOKUP("transport|SO2|Premature mortality", US_national_yearly!$D:$AM, 16, FALSE) / VLOOKUP("transport|SO2|Premature mortality", US_national_yearly!$D:$AM, 10, FALSE), 1)</f>
        <v>2.5581163145575385E-3</v>
      </c>
      <c r="I2" s="7">
        <f>$B2 * IFERROR(VLOOKUP("transport|SO2|Premature mortality", US_national_yearly!$D:$AM, 17, FALSE) / VLOOKUP("transport|SO2|Premature mortality", US_national_yearly!$D:$AM, 10, FALSE), 1)</f>
        <v>2.5956399298678883E-3</v>
      </c>
      <c r="J2" s="7">
        <f>$B2 * IFERROR(VLOOKUP("transport|SO2|Premature mortality", US_national_yearly!$D:$AM, 18, FALSE) / VLOOKUP("transport|SO2|Premature mortality", US_national_yearly!$D:$AM, 10, FALSE), 1)</f>
        <v>2.6331635451782381E-3</v>
      </c>
      <c r="K2" s="7">
        <f>$B2 * IFERROR(VLOOKUP("transport|SO2|Premature mortality", US_national_yearly!$D:$AM, 19, FALSE) / VLOOKUP("transport|SO2|Premature mortality", US_national_yearly!$D:$AM, 10, FALSE), 1)</f>
        <v>2.6706871604885878E-3</v>
      </c>
      <c r="L2" s="7">
        <f>$B2 * IFERROR(VLOOKUP("transport|SO2|Premature mortality", US_national_yearly!$D:$AM, 20, FALSE) / VLOOKUP("transport|SO2|Premature mortality", US_national_yearly!$D:$AM, 10, FALSE), 1)</f>
        <v>2.7082107757989376E-3</v>
      </c>
      <c r="M2" s="7">
        <f>$B2 * IFERROR(VLOOKUP("transport|SO2|Premature mortality", US_national_yearly!$D:$AM, 21, FALSE) / VLOOKUP("transport|SO2|Premature mortality", US_national_yearly!$D:$AM, 10, FALSE), 1)</f>
        <v>2.7457343911092874E-3</v>
      </c>
      <c r="N2" s="7">
        <f>$B2 * IFERROR(VLOOKUP("transport|SO2|Premature mortality", US_national_yearly!$D:$AM, 22, FALSE) / VLOOKUP("transport|SO2|Premature mortality", US_national_yearly!$D:$AM, 10, FALSE), 1)</f>
        <v>2.775053308729584E-3</v>
      </c>
      <c r="O2" s="7">
        <f>$B2 * IFERROR(VLOOKUP("transport|SO2|Premature mortality", US_national_yearly!$D:$AM, 23, FALSE) / VLOOKUP("transport|SO2|Premature mortality", US_national_yearly!$D:$AM, 10, FALSE), 1)</f>
        <v>2.8043722263498805E-3</v>
      </c>
      <c r="P2" s="7">
        <f>$B2 * IFERROR(VLOOKUP("transport|SO2|Premature mortality", US_national_yearly!$D:$AM, 24, FALSE) / VLOOKUP("transport|SO2|Premature mortality", US_national_yearly!$D:$AM, 10, FALSE), 1)</f>
        <v>2.8336911439701767E-3</v>
      </c>
      <c r="Q2" s="7">
        <f>$B2 * IFERROR(VLOOKUP("transport|SO2|Premature mortality", US_national_yearly!$D:$AM, 25, FALSE) / VLOOKUP("transport|SO2|Premature mortality", US_national_yearly!$D:$AM, 10, FALSE), 1)</f>
        <v>2.8630100615904732E-3</v>
      </c>
      <c r="R2" s="7">
        <f>$B2 * IFERROR(VLOOKUP("transport|SO2|Premature mortality", US_national_yearly!$D:$AM, 26, FALSE) / VLOOKUP("transport|SO2|Premature mortality", US_national_yearly!$D:$AM, 10, FALSE), 1)</f>
        <v>2.8923289792107693E-3</v>
      </c>
      <c r="S2" s="7">
        <f>$B2 * IFERROR(VLOOKUP("transport|SO2|Premature mortality", US_national_yearly!$D:$AM, 27, FALSE) / VLOOKUP("transport|SO2|Premature mortality", US_national_yearly!$D:$AM, 10, FALSE), 1)</f>
        <v>2.9080296499836679E-3</v>
      </c>
      <c r="T2" s="7">
        <f>$B2 * IFERROR(VLOOKUP("transport|SO2|Premature mortality", US_national_yearly!$D:$AM, 28, FALSE) / VLOOKUP("transport|SO2|Premature mortality", US_national_yearly!$D:$AM, 10, FALSE), 1)</f>
        <v>2.9237303207565661E-3</v>
      </c>
      <c r="U2" s="7">
        <f>$B2 * IFERROR(VLOOKUP("transport|SO2|Premature mortality", US_national_yearly!$D:$AM, 29, FALSE) / VLOOKUP("transport|SO2|Premature mortality", US_national_yearly!$D:$AM, 10, FALSE), 1)</f>
        <v>2.9394309915294643E-3</v>
      </c>
      <c r="V2" s="7">
        <f>$B2 * IFERROR(VLOOKUP("transport|SO2|Premature mortality", US_national_yearly!$D:$AM, 30, FALSE) / VLOOKUP("transport|SO2|Premature mortality", US_national_yearly!$D:$AM, 10, FALSE), 1)</f>
        <v>2.9551316623023624E-3</v>
      </c>
      <c r="W2" s="7">
        <f>$B2 * IFERROR(VLOOKUP("transport|SO2|Premature mortality", US_national_yearly!$D:$AM, 31, FALSE) / VLOOKUP("transport|SO2|Premature mortality", US_national_yearly!$D:$AM, 10, FALSE), 1)</f>
        <v>2.970832333075261E-3</v>
      </c>
      <c r="X2" s="7">
        <f>$B2 * IFERROR(VLOOKUP("transport|SO2|Premature mortality", US_national_yearly!$D:$AM, 32, FALSE) / VLOOKUP("transport|SO2|Premature mortality", US_national_yearly!$D:$AM, 10, FALSE), 1)</f>
        <v>2.9740219723675154E-3</v>
      </c>
      <c r="Y2" s="7">
        <f>$B2 * IFERROR(VLOOKUP("transport|SO2|Premature mortality", US_national_yearly!$D:$AM, 33, FALSE) / VLOOKUP("transport|SO2|Premature mortality", US_national_yearly!$D:$AM, 10, FALSE), 1)</f>
        <v>2.9772116116597706E-3</v>
      </c>
      <c r="Z2" s="7">
        <f>$B2 * IFERROR(VLOOKUP("transport|SO2|Premature mortality", US_national_yearly!$D:$AM, 34, FALSE) / VLOOKUP("transport|SO2|Premature mortality", US_national_yearly!$D:$AM, 10, FALSE), 1)</f>
        <v>2.9804012509520254E-3</v>
      </c>
      <c r="AA2" s="7">
        <f>$B2 * IFERROR(VLOOKUP("transport|SO2|Premature mortality", US_national_yearly!$D:$AM, 35, FALSE) / VLOOKUP("transport|SO2|Premature mortality", US_national_yearly!$D:$AM, 10, FALSE), 1)</f>
        <v>2.9835908902442806E-3</v>
      </c>
      <c r="AB2" s="7">
        <f>$B2 * IFERROR(VLOOKUP("transport|SO2|Premature mortality", US_national_yearly!$D:$AM, 36, FALSE) / VLOOKUP("transport|SO2|Premature mortality", US_national_yearly!$D:$AM, 10, FALSE), 1)</f>
        <v>2.9867805295365349E-3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1.047727380175742E-5</v>
      </c>
      <c r="C3" s="7">
        <f>$B3 * IFERROR(VLOOKUP("transport|SO2|Infant mortality", US_national_yearly!$D:$AM, 11, FALSE) / VLOOKUP("transport|SO2|Infant mortality", US_national_yearly!$D:$AM, 10, FALSE), 1)</f>
        <v>1.0387272108687214E-5</v>
      </c>
      <c r="D3" s="7">
        <f>$B3 * IFERROR(VLOOKUP("transport|SO2|Infant mortality", US_national_yearly!$D:$AM, 12, FALSE) / VLOOKUP("transport|SO2|Infant mortality", US_national_yearly!$D:$AM, 10, FALSE), 1)</f>
        <v>1.0297270415617009E-5</v>
      </c>
      <c r="E3" s="7">
        <f>$B3 * IFERROR(VLOOKUP("transport|SO2|Infant mortality", US_national_yearly!$D:$AM, 13, FALSE) / VLOOKUP("transport|SO2|Infant mortality", US_national_yearly!$D:$AM, 10, FALSE), 1)</f>
        <v>1.0207268722546801E-5</v>
      </c>
      <c r="F3" s="7">
        <f>$B3 * IFERROR(VLOOKUP("transport|SO2|Infant mortality", US_national_yearly!$D:$AM, 14, FALSE) / VLOOKUP("transport|SO2|Infant mortality", US_national_yearly!$D:$AM, 10, FALSE), 1)</f>
        <v>1.0117267029476596E-5</v>
      </c>
      <c r="G3" s="7">
        <f>$B3 * IFERROR(VLOOKUP("transport|SO2|Infant mortality", US_national_yearly!$D:$AM, 15, FALSE) / VLOOKUP("transport|SO2|Infant mortality", US_national_yearly!$D:$AM, 10, FALSE), 1)</f>
        <v>6.7389147023102395E-6</v>
      </c>
      <c r="H3" s="7">
        <f>$B3 * IFERROR(VLOOKUP("transport|SO2|Infant mortality", US_national_yearly!$D:$AM, 16, FALSE) / VLOOKUP("transport|SO2|Infant mortality", US_national_yearly!$D:$AM, 10, FALSE), 1)</f>
        <v>3.3605623751438881E-6</v>
      </c>
      <c r="I3" s="7">
        <f>$B3 * IFERROR(VLOOKUP("transport|SO2|Infant mortality", US_national_yearly!$D:$AM, 17, FALSE) / VLOOKUP("transport|SO2|Infant mortality", US_national_yearly!$D:$AM, 10, FALSE), 1)</f>
        <v>3.3394805525619015E-6</v>
      </c>
      <c r="J3" s="7">
        <f>$B3 * IFERROR(VLOOKUP("transport|SO2|Infant mortality", US_national_yearly!$D:$AM, 18, FALSE) / VLOOKUP("transport|SO2|Infant mortality", US_national_yearly!$D:$AM, 10, FALSE), 1)</f>
        <v>3.3183987299799149E-6</v>
      </c>
      <c r="K3" s="7">
        <f>$B3 * IFERROR(VLOOKUP("transport|SO2|Infant mortality", US_national_yearly!$D:$AM, 19, FALSE) / VLOOKUP("transport|SO2|Infant mortality", US_national_yearly!$D:$AM, 10, FALSE), 1)</f>
        <v>3.2973169073979282E-6</v>
      </c>
      <c r="L3" s="7">
        <f>$B3 * IFERROR(VLOOKUP("transport|SO2|Infant mortality", US_national_yearly!$D:$AM, 20, FALSE) / VLOOKUP("transport|SO2|Infant mortality", US_national_yearly!$D:$AM, 10, FALSE), 1)</f>
        <v>3.2762350848159425E-6</v>
      </c>
      <c r="M3" s="7">
        <f>$B3 * IFERROR(VLOOKUP("transport|SO2|Infant mortality", US_national_yearly!$D:$AM, 21, FALSE) / VLOOKUP("transport|SO2|Infant mortality", US_national_yearly!$D:$AM, 10, FALSE), 1)</f>
        <v>3.2551532622339558E-6</v>
      </c>
      <c r="N3" s="7">
        <f>$B3 * IFERROR(VLOOKUP("transport|SO2|Infant mortality", US_national_yearly!$D:$AM, 22, FALSE) / VLOOKUP("transport|SO2|Infant mortality", US_national_yearly!$D:$AM, 10, FALSE), 1)</f>
        <v>3.2419203600317277E-6</v>
      </c>
      <c r="O3" s="7">
        <f>$B3 * IFERROR(VLOOKUP("transport|SO2|Infant mortality", US_national_yearly!$D:$AM, 23, FALSE) / VLOOKUP("transport|SO2|Infant mortality", US_national_yearly!$D:$AM, 10, FALSE), 1)</f>
        <v>3.2286874578294996E-6</v>
      </c>
      <c r="P3" s="7">
        <f>$B3 * IFERROR(VLOOKUP("transport|SO2|Infant mortality", US_national_yearly!$D:$AM, 24, FALSE) / VLOOKUP("transport|SO2|Infant mortality", US_national_yearly!$D:$AM, 10, FALSE), 1)</f>
        <v>3.2154545556272711E-6</v>
      </c>
      <c r="Q3" s="7">
        <f>$B3 * IFERROR(VLOOKUP("transport|SO2|Infant mortality", US_national_yearly!$D:$AM, 25, FALSE) / VLOOKUP("transport|SO2|Infant mortality", US_national_yearly!$D:$AM, 10, FALSE), 1)</f>
        <v>3.2022216534250429E-6</v>
      </c>
      <c r="R3" s="7">
        <f>$B3 * IFERROR(VLOOKUP("transport|SO2|Infant mortality", US_national_yearly!$D:$AM, 26, FALSE) / VLOOKUP("transport|SO2|Infant mortality", US_national_yearly!$D:$AM, 10, FALSE), 1)</f>
        <v>3.188988751222814E-6</v>
      </c>
      <c r="S3" s="7">
        <f>$B3 * IFERROR(VLOOKUP("transport|SO2|Infant mortality", US_national_yearly!$D:$AM, 27, FALSE) / VLOOKUP("transport|SO2|Infant mortality", US_national_yearly!$D:$AM, 10, FALSE), 1)</f>
        <v>3.1723740363422578E-6</v>
      </c>
      <c r="T3" s="7">
        <f>$B3 * IFERROR(VLOOKUP("transport|SO2|Infant mortality", US_national_yearly!$D:$AM, 28, FALSE) / VLOOKUP("transport|SO2|Infant mortality", US_national_yearly!$D:$AM, 10, FALSE), 1)</f>
        <v>3.1557593214617016E-6</v>
      </c>
      <c r="U3" s="7">
        <f>$B3 * IFERROR(VLOOKUP("transport|SO2|Infant mortality", US_national_yearly!$D:$AM, 29, FALSE) / VLOOKUP("transport|SO2|Infant mortality", US_national_yearly!$D:$AM, 10, FALSE), 1)</f>
        <v>3.1391446065811442E-6</v>
      </c>
      <c r="V3" s="7">
        <f>$B3 * IFERROR(VLOOKUP("transport|SO2|Infant mortality", US_national_yearly!$D:$AM, 30, FALSE) / VLOOKUP("transport|SO2|Infant mortality", US_national_yearly!$D:$AM, 10, FALSE), 1)</f>
        <v>3.1225298917005884E-6</v>
      </c>
      <c r="W3" s="7">
        <f>$B3 * IFERROR(VLOOKUP("transport|SO2|Infant mortality", US_national_yearly!$D:$AM, 31, FALSE) / VLOOKUP("transport|SO2|Infant mortality", US_national_yearly!$D:$AM, 10, FALSE), 1)</f>
        <v>3.1059151768200314E-6</v>
      </c>
      <c r="X3" s="7">
        <f>$B3 * IFERROR(VLOOKUP("transport|SO2|Infant mortality", US_national_yearly!$D:$AM, 32, FALSE) / VLOOKUP("transport|SO2|Infant mortality", US_national_yearly!$D:$AM, 10, FALSE), 1)</f>
        <v>3.0877501649571188E-6</v>
      </c>
      <c r="Y3" s="7">
        <f>$B3 * IFERROR(VLOOKUP("transport|SO2|Infant mortality", US_national_yearly!$D:$AM, 33, FALSE) / VLOOKUP("transport|SO2|Infant mortality", US_national_yearly!$D:$AM, 10, FALSE), 1)</f>
        <v>3.0695851530942054E-6</v>
      </c>
      <c r="Z3" s="7">
        <f>$B3 * IFERROR(VLOOKUP("transport|SO2|Infant mortality", US_national_yearly!$D:$AM, 34, FALSE) / VLOOKUP("transport|SO2|Infant mortality", US_national_yearly!$D:$AM, 10, FALSE), 1)</f>
        <v>3.0514201412312927E-6</v>
      </c>
      <c r="AA3" s="7">
        <f>$B3 * IFERROR(VLOOKUP("transport|SO2|Infant mortality", US_national_yearly!$D:$AM, 35, FALSE) / VLOOKUP("transport|SO2|Infant mortality", US_national_yearly!$D:$AM, 10, FALSE), 1)</f>
        <v>3.0332551293683789E-6</v>
      </c>
      <c r="AB3" s="7">
        <f>$B3 * IFERROR(VLOOKUP("transport|SO2|Infant mortality", US_national_yearly!$D:$AM, 36, FALSE) / VLOOKUP("transport|SO2|Infant mortality", US_national_yearly!$D:$AM, 10, FALSE), 1)</f>
        <v>3.0150901175054663E-6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1.1374700909980445E-2</v>
      </c>
      <c r="C6" s="7">
        <f>$B6 * IFERROR(VLOOKUP("transport|SO2|Asthma symptoms cough", US_national_yearly!$D:$AM, 11, FALSE) / VLOOKUP("transport|SO2|Asthma symptoms cough", US_national_yearly!$D:$AM, 10, FALSE), 1)</f>
        <v>1.1374700909980445E-2</v>
      </c>
      <c r="D6" s="7">
        <f>$B6 * IFERROR(VLOOKUP("transport|SO2|Asthma symptoms cough", US_national_yearly!$D:$AM, 12, FALSE) / VLOOKUP("transport|SO2|Asthma symptoms cough", US_national_yearly!$D:$AM, 10, FALSE), 1)</f>
        <v>1.1374700909980445E-2</v>
      </c>
      <c r="E6" s="7">
        <f>$B6 * IFERROR(VLOOKUP("transport|SO2|Asthma symptoms cough", US_national_yearly!$D:$AM, 13, FALSE) / VLOOKUP("transport|SO2|Asthma symptoms cough", US_national_yearly!$D:$AM, 10, FALSE), 1)</f>
        <v>1.1374700909980445E-2</v>
      </c>
      <c r="F6" s="7">
        <f>$B6 * IFERROR(VLOOKUP("transport|SO2|Asthma symptoms cough", US_national_yearly!$D:$AM, 14, FALSE) / VLOOKUP("transport|SO2|Asthma symptoms cough", US_national_yearly!$D:$AM, 10, FALSE), 1)</f>
        <v>1.1374700909980445E-2</v>
      </c>
      <c r="G6" s="7">
        <f>$B6 * IFERROR(VLOOKUP("transport|SO2|Asthma symptoms cough", US_national_yearly!$D:$AM, 15, FALSE) / VLOOKUP("transport|SO2|Asthma symptoms cough", US_national_yearly!$D:$AM, 10, FALSE), 1)</f>
        <v>1.1374700909980445E-2</v>
      </c>
      <c r="H6" s="7">
        <f>$B6 * IFERROR(VLOOKUP("transport|SO2|Asthma symptoms cough", US_national_yearly!$D:$AM, 16, FALSE) / VLOOKUP("transport|SO2|Asthma symptoms cough", US_national_yearly!$D:$AM, 10, FALSE), 1)</f>
        <v>1.1374700909980445E-2</v>
      </c>
      <c r="I6" s="7">
        <f>$B6 * IFERROR(VLOOKUP("transport|SO2|Asthma symptoms cough", US_national_yearly!$D:$AM, 17, FALSE) / VLOOKUP("transport|SO2|Asthma symptoms cough", US_national_yearly!$D:$AM, 10, FALSE), 1)</f>
        <v>1.1374700909980445E-2</v>
      </c>
      <c r="J6" s="7">
        <f>$B6 * IFERROR(VLOOKUP("transport|SO2|Asthma symptoms cough", US_national_yearly!$D:$AM, 18, FALSE) / VLOOKUP("transport|SO2|Asthma symptoms cough", US_national_yearly!$D:$AM, 10, FALSE), 1)</f>
        <v>1.1374700909980445E-2</v>
      </c>
      <c r="K6" s="7">
        <f>$B6 * IFERROR(VLOOKUP("transport|SO2|Asthma symptoms cough", US_national_yearly!$D:$AM, 19, FALSE) / VLOOKUP("transport|SO2|Asthma symptoms cough", US_national_yearly!$D:$AM, 10, FALSE), 1)</f>
        <v>1.1374700909980445E-2</v>
      </c>
      <c r="L6" s="7">
        <f>$B6 * IFERROR(VLOOKUP("transport|SO2|Asthma symptoms cough", US_national_yearly!$D:$AM, 20, FALSE) / VLOOKUP("transport|SO2|Asthma symptoms cough", US_national_yearly!$D:$AM, 10, FALSE), 1)</f>
        <v>1.1374700909980445E-2</v>
      </c>
      <c r="M6" s="7">
        <f>$B6 * IFERROR(VLOOKUP("transport|SO2|Asthma symptoms cough", US_national_yearly!$D:$AM, 21, FALSE) / VLOOKUP("transport|SO2|Asthma symptoms cough", US_national_yearly!$D:$AM, 10, FALSE), 1)</f>
        <v>1.1374700909980445E-2</v>
      </c>
      <c r="N6" s="7">
        <f>$B6 * IFERROR(VLOOKUP("transport|SO2|Asthma symptoms cough", US_national_yearly!$D:$AM, 22, FALSE) / VLOOKUP("transport|SO2|Asthma symptoms cough", US_national_yearly!$D:$AM, 10, FALSE), 1)</f>
        <v>1.1374700909980445E-2</v>
      </c>
      <c r="O6" s="7">
        <f>$B6 * IFERROR(VLOOKUP("transport|SO2|Asthma symptoms cough", US_national_yearly!$D:$AM, 23, FALSE) / VLOOKUP("transport|SO2|Asthma symptoms cough", US_national_yearly!$D:$AM, 10, FALSE), 1)</f>
        <v>1.1374700909980445E-2</v>
      </c>
      <c r="P6" s="7">
        <f>$B6 * IFERROR(VLOOKUP("transport|SO2|Asthma symptoms cough", US_national_yearly!$D:$AM, 24, FALSE) / VLOOKUP("transport|SO2|Asthma symptoms cough", US_national_yearly!$D:$AM, 10, FALSE), 1)</f>
        <v>1.1374700909980445E-2</v>
      </c>
      <c r="Q6" s="7">
        <f>$B6 * IFERROR(VLOOKUP("transport|SO2|Asthma symptoms cough", US_national_yearly!$D:$AM, 25, FALSE) / VLOOKUP("transport|SO2|Asthma symptoms cough", US_national_yearly!$D:$AM, 10, FALSE), 1)</f>
        <v>1.1374700909980445E-2</v>
      </c>
      <c r="R6" s="7">
        <f>$B6 * IFERROR(VLOOKUP("transport|SO2|Asthma symptoms cough", US_national_yearly!$D:$AM, 26, FALSE) / VLOOKUP("transport|SO2|Asthma symptoms cough", US_national_yearly!$D:$AM, 10, FALSE), 1)</f>
        <v>1.1374700909980445E-2</v>
      </c>
      <c r="S6" s="7">
        <f>$B6 * IFERROR(VLOOKUP("transport|SO2|Asthma symptoms cough", US_national_yearly!$D:$AM, 27, FALSE) / VLOOKUP("transport|SO2|Asthma symptoms cough", US_national_yearly!$D:$AM, 10, FALSE), 1)</f>
        <v>1.1374700909980445E-2</v>
      </c>
      <c r="T6" s="7">
        <f>$B6 * IFERROR(VLOOKUP("transport|SO2|Asthma symptoms cough", US_national_yearly!$D:$AM, 28, FALSE) / VLOOKUP("transport|SO2|Asthma symptoms cough", US_national_yearly!$D:$AM, 10, FALSE), 1)</f>
        <v>1.1374700909980445E-2</v>
      </c>
      <c r="U6" s="7">
        <f>$B6 * IFERROR(VLOOKUP("transport|SO2|Asthma symptoms cough", US_national_yearly!$D:$AM, 29, FALSE) / VLOOKUP("transport|SO2|Asthma symptoms cough", US_national_yearly!$D:$AM, 10, FALSE), 1)</f>
        <v>1.1374700909980445E-2</v>
      </c>
      <c r="V6" s="7">
        <f>$B6 * IFERROR(VLOOKUP("transport|SO2|Asthma symptoms cough", US_national_yearly!$D:$AM, 30, FALSE) / VLOOKUP("transport|SO2|Asthma symptoms cough", US_national_yearly!$D:$AM, 10, FALSE), 1)</f>
        <v>1.1374700909980445E-2</v>
      </c>
      <c r="W6" s="7">
        <f>$B6 * IFERROR(VLOOKUP("transport|SO2|Asthma symptoms cough", US_national_yearly!$D:$AM, 31, FALSE) / VLOOKUP("transport|SO2|Asthma symptoms cough", US_national_yearly!$D:$AM, 10, FALSE), 1)</f>
        <v>1.1374700909980445E-2</v>
      </c>
      <c r="X6" s="7">
        <f>$B6 * IFERROR(VLOOKUP("transport|SO2|Asthma symptoms cough", US_national_yearly!$D:$AM, 32, FALSE) / VLOOKUP("transport|SO2|Asthma symptoms cough", US_national_yearly!$D:$AM, 10, FALSE), 1)</f>
        <v>1.1374700909980445E-2</v>
      </c>
      <c r="Y6" s="7">
        <f>$B6 * IFERROR(VLOOKUP("transport|SO2|Asthma symptoms cough", US_national_yearly!$D:$AM, 33, FALSE) / VLOOKUP("transport|SO2|Asthma symptoms cough", US_national_yearly!$D:$AM, 10, FALSE), 1)</f>
        <v>1.1374700909980445E-2</v>
      </c>
      <c r="Z6" s="7">
        <f>$B6 * IFERROR(VLOOKUP("transport|SO2|Asthma symptoms cough", US_national_yearly!$D:$AM, 34, FALSE) / VLOOKUP("transport|SO2|Asthma symptoms cough", US_national_yearly!$D:$AM, 10, FALSE), 1)</f>
        <v>1.1374700909980445E-2</v>
      </c>
      <c r="AA6" s="7">
        <f>$B6 * IFERROR(VLOOKUP("transport|SO2|Asthma symptoms cough", US_national_yearly!$D:$AM, 35, FALSE) / VLOOKUP("transport|SO2|Asthma symptoms cough", US_national_yearly!$D:$AM, 10, FALSE), 1)</f>
        <v>1.1374700909980445E-2</v>
      </c>
      <c r="AB6" s="7">
        <f>$B6 * IFERROR(VLOOKUP("transport|SO2|Asthma symptoms cough", US_national_yearly!$D:$AM, 36, FALSE) / VLOOKUP("transport|SO2|Asthma symptoms cough", US_national_yearly!$D:$AM, 10, FALSE), 1)</f>
        <v>1.1374700909980445E-2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1.5317688036712596E-2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1.5317688036712596E-2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1.5317688036712596E-2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1.5317688036712596E-2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1.5317688036712596E-2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1.5317688036712596E-2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1.5317688036712596E-2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1.5317688036712596E-2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1.5317688036712596E-2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1.5317688036712596E-2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1.5317688036712596E-2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1.5317688036712596E-2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1.5317688036712596E-2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1.5317688036712596E-2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1.5317688036712596E-2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1.5317688036712596E-2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1.5317688036712596E-2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1.5317688036712596E-2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1.5317688036712596E-2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1.5317688036712596E-2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1.5317688036712596E-2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1.5317688036712596E-2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1.5317688036712596E-2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1.5317688036712596E-2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1.5317688036712596E-2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1.5317688036712596E-2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1.5317688036712596E-2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2.3402821578338742E-2</v>
      </c>
      <c r="C8" s="7">
        <f>$B8 * IFERROR(VLOOKUP("transport|SO2|Asthma symptoms wheeze", US_national_yearly!$D:$AM, 11, FALSE) / VLOOKUP("transport|SO2|Asthma symptoms wheeze", US_national_yearly!$D:$AM, 10, FALSE), 1)</f>
        <v>2.3402821578338742E-2</v>
      </c>
      <c r="D8" s="7">
        <f>$B8 * IFERROR(VLOOKUP("transport|SO2|Asthma symptoms wheeze", US_national_yearly!$D:$AM, 12, FALSE) / VLOOKUP("transport|SO2|Asthma symptoms wheeze", US_national_yearly!$D:$AM, 10, FALSE), 1)</f>
        <v>2.3402821578338742E-2</v>
      </c>
      <c r="E8" s="7">
        <f>$B8 * IFERROR(VLOOKUP("transport|SO2|Asthma symptoms wheeze", US_national_yearly!$D:$AM, 13, FALSE) / VLOOKUP("transport|SO2|Asthma symptoms wheeze", US_national_yearly!$D:$AM, 10, FALSE), 1)</f>
        <v>2.3402821578338742E-2</v>
      </c>
      <c r="F8" s="7">
        <f>$B8 * IFERROR(VLOOKUP("transport|SO2|Asthma symptoms wheeze", US_national_yearly!$D:$AM, 14, FALSE) / VLOOKUP("transport|SO2|Asthma symptoms wheeze", US_national_yearly!$D:$AM, 10, FALSE), 1)</f>
        <v>2.3402821578338742E-2</v>
      </c>
      <c r="G8" s="7">
        <f>$B8 * IFERROR(VLOOKUP("transport|SO2|Asthma symptoms wheeze", US_national_yearly!$D:$AM, 15, FALSE) / VLOOKUP("transport|SO2|Asthma symptoms wheeze", US_national_yearly!$D:$AM, 10, FALSE), 1)</f>
        <v>2.3402821578338742E-2</v>
      </c>
      <c r="H8" s="7">
        <f>$B8 * IFERROR(VLOOKUP("transport|SO2|Asthma symptoms wheeze", US_national_yearly!$D:$AM, 16, FALSE) / VLOOKUP("transport|SO2|Asthma symptoms wheeze", US_national_yearly!$D:$AM, 10, FALSE), 1)</f>
        <v>2.3402821578338742E-2</v>
      </c>
      <c r="I8" s="7">
        <f>$B8 * IFERROR(VLOOKUP("transport|SO2|Asthma symptoms wheeze", US_national_yearly!$D:$AM, 17, FALSE) / VLOOKUP("transport|SO2|Asthma symptoms wheeze", US_national_yearly!$D:$AM, 10, FALSE), 1)</f>
        <v>2.3402821578338742E-2</v>
      </c>
      <c r="J8" s="7">
        <f>$B8 * IFERROR(VLOOKUP("transport|SO2|Asthma symptoms wheeze", US_national_yearly!$D:$AM, 18, FALSE) / VLOOKUP("transport|SO2|Asthma symptoms wheeze", US_national_yearly!$D:$AM, 10, FALSE), 1)</f>
        <v>2.3402821578338742E-2</v>
      </c>
      <c r="K8" s="7">
        <f>$B8 * IFERROR(VLOOKUP("transport|SO2|Asthma symptoms wheeze", US_national_yearly!$D:$AM, 19, FALSE) / VLOOKUP("transport|SO2|Asthma symptoms wheeze", US_national_yearly!$D:$AM, 10, FALSE), 1)</f>
        <v>2.3402821578338742E-2</v>
      </c>
      <c r="L8" s="7">
        <f>$B8 * IFERROR(VLOOKUP("transport|SO2|Asthma symptoms wheeze", US_national_yearly!$D:$AM, 20, FALSE) / VLOOKUP("transport|SO2|Asthma symptoms wheeze", US_national_yearly!$D:$AM, 10, FALSE), 1)</f>
        <v>2.3402821578338742E-2</v>
      </c>
      <c r="M8" s="7">
        <f>$B8 * IFERROR(VLOOKUP("transport|SO2|Asthma symptoms wheeze", US_national_yearly!$D:$AM, 21, FALSE) / VLOOKUP("transport|SO2|Asthma symptoms wheeze", US_national_yearly!$D:$AM, 10, FALSE), 1)</f>
        <v>2.3402821578338742E-2</v>
      </c>
      <c r="N8" s="7">
        <f>$B8 * IFERROR(VLOOKUP("transport|SO2|Asthma symptoms wheeze", US_national_yearly!$D:$AM, 22, FALSE) / VLOOKUP("transport|SO2|Asthma symptoms wheeze", US_national_yearly!$D:$AM, 10, FALSE), 1)</f>
        <v>2.3402821578338742E-2</v>
      </c>
      <c r="O8" s="7">
        <f>$B8 * IFERROR(VLOOKUP("transport|SO2|Asthma symptoms wheeze", US_national_yearly!$D:$AM, 23, FALSE) / VLOOKUP("transport|SO2|Asthma symptoms wheeze", US_national_yearly!$D:$AM, 10, FALSE), 1)</f>
        <v>2.3402821578338742E-2</v>
      </c>
      <c r="P8" s="7">
        <f>$B8 * IFERROR(VLOOKUP("transport|SO2|Asthma symptoms wheeze", US_national_yearly!$D:$AM, 24, FALSE) / VLOOKUP("transport|SO2|Asthma symptoms wheeze", US_national_yearly!$D:$AM, 10, FALSE), 1)</f>
        <v>2.3402821578338742E-2</v>
      </c>
      <c r="Q8" s="7">
        <f>$B8 * IFERROR(VLOOKUP("transport|SO2|Asthma symptoms wheeze", US_national_yearly!$D:$AM, 25, FALSE) / VLOOKUP("transport|SO2|Asthma symptoms wheeze", US_national_yearly!$D:$AM, 10, FALSE), 1)</f>
        <v>2.3402821578338742E-2</v>
      </c>
      <c r="R8" s="7">
        <f>$B8 * IFERROR(VLOOKUP("transport|SO2|Asthma symptoms wheeze", US_national_yearly!$D:$AM, 26, FALSE) / VLOOKUP("transport|SO2|Asthma symptoms wheeze", US_national_yearly!$D:$AM, 10, FALSE), 1)</f>
        <v>2.3402821578338742E-2</v>
      </c>
      <c r="S8" s="7">
        <f>$B8 * IFERROR(VLOOKUP("transport|SO2|Asthma symptoms wheeze", US_national_yearly!$D:$AM, 27, FALSE) / VLOOKUP("transport|SO2|Asthma symptoms wheeze", US_national_yearly!$D:$AM, 10, FALSE), 1)</f>
        <v>2.3402821578338742E-2</v>
      </c>
      <c r="T8" s="7">
        <f>$B8 * IFERROR(VLOOKUP("transport|SO2|Asthma symptoms wheeze", US_national_yearly!$D:$AM, 28, FALSE) / VLOOKUP("transport|SO2|Asthma symptoms wheeze", US_national_yearly!$D:$AM, 10, FALSE), 1)</f>
        <v>2.3402821578338742E-2</v>
      </c>
      <c r="U8" s="7">
        <f>$B8 * IFERROR(VLOOKUP("transport|SO2|Asthma symptoms wheeze", US_national_yearly!$D:$AM, 29, FALSE) / VLOOKUP("transport|SO2|Asthma symptoms wheeze", US_national_yearly!$D:$AM, 10, FALSE), 1)</f>
        <v>2.3402821578338742E-2</v>
      </c>
      <c r="V8" s="7">
        <f>$B8 * IFERROR(VLOOKUP("transport|SO2|Asthma symptoms wheeze", US_national_yearly!$D:$AM, 30, FALSE) / VLOOKUP("transport|SO2|Asthma symptoms wheeze", US_national_yearly!$D:$AM, 10, FALSE), 1)</f>
        <v>2.3402821578338742E-2</v>
      </c>
      <c r="W8" s="7">
        <f>$B8 * IFERROR(VLOOKUP("transport|SO2|Asthma symptoms wheeze", US_national_yearly!$D:$AM, 31, FALSE) / VLOOKUP("transport|SO2|Asthma symptoms wheeze", US_national_yearly!$D:$AM, 10, FALSE), 1)</f>
        <v>2.3402821578338742E-2</v>
      </c>
      <c r="X8" s="7">
        <f>$B8 * IFERROR(VLOOKUP("transport|SO2|Asthma symptoms wheeze", US_national_yearly!$D:$AM, 32, FALSE) / VLOOKUP("transport|SO2|Asthma symptoms wheeze", US_national_yearly!$D:$AM, 10, FALSE), 1)</f>
        <v>2.3402821578338742E-2</v>
      </c>
      <c r="Y8" s="7">
        <f>$B8 * IFERROR(VLOOKUP("transport|SO2|Asthma symptoms wheeze", US_national_yearly!$D:$AM, 33, FALSE) / VLOOKUP("transport|SO2|Asthma symptoms wheeze", US_national_yearly!$D:$AM, 10, FALSE), 1)</f>
        <v>2.3402821578338742E-2</v>
      </c>
      <c r="Z8" s="7">
        <f>$B8 * IFERROR(VLOOKUP("transport|SO2|Asthma symptoms wheeze", US_national_yearly!$D:$AM, 34, FALSE) / VLOOKUP("transport|SO2|Asthma symptoms wheeze", US_national_yearly!$D:$AM, 10, FALSE), 1)</f>
        <v>2.3402821578338742E-2</v>
      </c>
      <c r="AA8" s="7">
        <f>$B8 * IFERROR(VLOOKUP("transport|SO2|Asthma symptoms wheeze", US_national_yearly!$D:$AM, 35, FALSE) / VLOOKUP("transport|SO2|Asthma symptoms wheeze", US_national_yearly!$D:$AM, 10, FALSE), 1)</f>
        <v>2.3402821578338742E-2</v>
      </c>
      <c r="AB8" s="7">
        <f>$B8 * IFERROR(VLOOKUP("transport|SO2|Asthma symptoms wheeze", US_national_yearly!$D:$AM, 36, FALSE) / VLOOKUP("transport|SO2|Asthma symptoms wheeze", US_national_yearly!$D:$AM, 10, FALSE), 1)</f>
        <v>2.3402821578338742E-2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1.2214003511337165E-4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1.2286042311020708E-4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1.2358081110704251E-4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1.2430119910387794E-4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1.2502158710071338E-4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1.2580693152582401E-4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1.2659227595093465E-4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1.2736671906044485E-4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1.2814116216995508E-4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1.2891560527946526E-4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1.2969004838897548E-4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1.3046449149848566E-4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1.3102981106245535E-4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1.3159513062642502E-4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1.3216045019039468E-4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1.327257697543644E-4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1.3329108931833407E-4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1.3383036104726122E-4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1.3436963277618837E-4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1.3490890450511552E-4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1.3544817623404269E-4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1.3598744796296987E-4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1.3649912829582565E-4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1.3701080862868142E-4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1.3752248896153722E-4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1.38034169294393E-4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1.385458496272488E-4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8.8502514065746246E-4</v>
      </c>
      <c r="C13" s="7">
        <f>$B13 * IFERROR(VLOOKUP("transport|SO2|Non-fatal heart attacks", US_national_yearly!$D:$AM, 11, FALSE) / VLOOKUP("transport|SO2|Non-fatal heart attacks", US_national_yearly!$D:$AM, 10, FALSE), 1)</f>
        <v>9.1100626419959635E-4</v>
      </c>
      <c r="D13" s="7">
        <f>$B13 * IFERROR(VLOOKUP("transport|SO2|Non-fatal heart attacks", US_national_yearly!$D:$AM, 12, FALSE) / VLOOKUP("transport|SO2|Non-fatal heart attacks", US_national_yearly!$D:$AM, 10, FALSE), 1)</f>
        <v>9.3698738774173024E-4</v>
      </c>
      <c r="E13" s="7">
        <f>$B13 * IFERROR(VLOOKUP("transport|SO2|Non-fatal heart attacks", US_national_yearly!$D:$AM, 13, FALSE) / VLOOKUP("transport|SO2|Non-fatal heart attacks", US_national_yearly!$D:$AM, 10, FALSE), 1)</f>
        <v>9.6296851128386423E-4</v>
      </c>
      <c r="F13" s="7">
        <f>$B13 * IFERROR(VLOOKUP("transport|SO2|Non-fatal heart attacks", US_national_yearly!$D:$AM, 14, FALSE) / VLOOKUP("transport|SO2|Non-fatal heart attacks", US_national_yearly!$D:$AM, 10, FALSE), 1)</f>
        <v>9.8894963482599801E-4</v>
      </c>
      <c r="G13" s="7">
        <f>$B13 * IFERROR(VLOOKUP("transport|SO2|Non-fatal heart attacks", US_national_yearly!$D:$AM, 15, FALSE) / VLOOKUP("transport|SO2|Non-fatal heart attacks", US_national_yearly!$D:$AM, 10, FALSE), 1)</f>
        <v>1.013452244222659E-3</v>
      </c>
      <c r="H13" s="7">
        <f>$B13 * IFERROR(VLOOKUP("transport|SO2|Non-fatal heart attacks", US_national_yearly!$D:$AM, 16, FALSE) / VLOOKUP("transport|SO2|Non-fatal heart attacks", US_national_yearly!$D:$AM, 10, FALSE), 1)</f>
        <v>1.03795485361932E-3</v>
      </c>
      <c r="I13" s="7">
        <f>$B13 * IFERROR(VLOOKUP("transport|SO2|Non-fatal heart attacks", US_national_yearly!$D:$AM, 17, FALSE) / VLOOKUP("transport|SO2|Non-fatal heart attacks", US_national_yearly!$D:$AM, 10, FALSE), 1)</f>
        <v>1.057671772970835E-3</v>
      </c>
      <c r="J13" s="7">
        <f>$B13 * IFERROR(VLOOKUP("transport|SO2|Non-fatal heart attacks", US_national_yearly!$D:$AM, 18, FALSE) / VLOOKUP("transport|SO2|Non-fatal heart attacks", US_national_yearly!$D:$AM, 10, FALSE), 1)</f>
        <v>1.0773886923223501E-3</v>
      </c>
      <c r="K13" s="7">
        <f>$B13 * IFERROR(VLOOKUP("transport|SO2|Non-fatal heart attacks", US_national_yearly!$D:$AM, 19, FALSE) / VLOOKUP("transport|SO2|Non-fatal heart attacks", US_national_yearly!$D:$AM, 10, FALSE), 1)</f>
        <v>1.0971056116738651E-3</v>
      </c>
      <c r="L13" s="7">
        <f>$B13 * IFERROR(VLOOKUP("transport|SO2|Non-fatal heart attacks", US_national_yearly!$D:$AM, 20, FALSE) / VLOOKUP("transport|SO2|Non-fatal heart attacks", US_national_yearly!$D:$AM, 10, FALSE), 1)</f>
        <v>1.1168225310253805E-3</v>
      </c>
      <c r="M13" s="7">
        <f>$B13 * IFERROR(VLOOKUP("transport|SO2|Non-fatal heart attacks", US_national_yearly!$D:$AM, 21, FALSE) / VLOOKUP("transport|SO2|Non-fatal heart attacks", US_national_yearly!$D:$AM, 10, FALSE), 1)</f>
        <v>1.1365394503768957E-3</v>
      </c>
      <c r="N13" s="7">
        <f>$B13 * IFERROR(VLOOKUP("transport|SO2|Non-fatal heart attacks", US_national_yearly!$D:$AM, 22, FALSE) / VLOOKUP("transport|SO2|Non-fatal heart attacks", US_national_yearly!$D:$AM, 10, FALSE), 1)</f>
        <v>1.1493418843238248E-3</v>
      </c>
      <c r="O13" s="7">
        <f>$B13 * IFERROR(VLOOKUP("transport|SO2|Non-fatal heart attacks", US_national_yearly!$D:$AM, 23, FALSE) / VLOOKUP("transport|SO2|Non-fatal heart attacks", US_national_yearly!$D:$AM, 10, FALSE), 1)</f>
        <v>1.1621443182707543E-3</v>
      </c>
      <c r="P13" s="7">
        <f>$B13 * IFERROR(VLOOKUP("transport|SO2|Non-fatal heart attacks", US_national_yearly!$D:$AM, 24, FALSE) / VLOOKUP("transport|SO2|Non-fatal heart attacks", US_national_yearly!$D:$AM, 10, FALSE), 1)</f>
        <v>1.1749467522176836E-3</v>
      </c>
      <c r="Q13" s="7">
        <f>$B13 * IFERROR(VLOOKUP("transport|SO2|Non-fatal heart attacks", US_national_yearly!$D:$AM, 25, FALSE) / VLOOKUP("transport|SO2|Non-fatal heart attacks", US_national_yearly!$D:$AM, 10, FALSE), 1)</f>
        <v>1.1877491861646129E-3</v>
      </c>
      <c r="R13" s="7">
        <f>$B13 * IFERROR(VLOOKUP("transport|SO2|Non-fatal heart attacks", US_national_yearly!$D:$AM, 26, FALSE) / VLOOKUP("transport|SO2|Non-fatal heart attacks", US_national_yearly!$D:$AM, 10, FALSE), 1)</f>
        <v>1.2005516201115422E-3</v>
      </c>
      <c r="S13" s="7">
        <f>$B13 * IFERROR(VLOOKUP("transport|SO2|Non-fatal heart attacks", US_national_yearly!$D:$AM, 27, FALSE) / VLOOKUP("transport|SO2|Non-fatal heart attacks", US_national_yearly!$D:$AM, 10, FALSE), 1)</f>
        <v>1.2072356988642439E-3</v>
      </c>
      <c r="T13" s="7">
        <f>$B13 * IFERROR(VLOOKUP("transport|SO2|Non-fatal heart attacks", US_national_yearly!$D:$AM, 28, FALSE) / VLOOKUP("transport|SO2|Non-fatal heart attacks", US_national_yearly!$D:$AM, 10, FALSE), 1)</f>
        <v>1.2139197776169456E-3</v>
      </c>
      <c r="U13" s="7">
        <f>$B13 * IFERROR(VLOOKUP("transport|SO2|Non-fatal heart attacks", US_national_yearly!$D:$AM, 29, FALSE) / VLOOKUP("transport|SO2|Non-fatal heart attacks", US_national_yearly!$D:$AM, 10, FALSE), 1)</f>
        <v>1.2206038563696471E-3</v>
      </c>
      <c r="V13" s="7">
        <f>$B13 * IFERROR(VLOOKUP("transport|SO2|Non-fatal heart attacks", US_national_yearly!$D:$AM, 30, FALSE) / VLOOKUP("transport|SO2|Non-fatal heart attacks", US_national_yearly!$D:$AM, 10, FALSE), 1)</f>
        <v>1.2272879351223483E-3</v>
      </c>
      <c r="W13" s="7">
        <f>$B13 * IFERROR(VLOOKUP("transport|SO2|Non-fatal heart attacks", US_national_yearly!$D:$AM, 31, FALSE) / VLOOKUP("transport|SO2|Non-fatal heart attacks", US_national_yearly!$D:$AM, 10, FALSE), 1)</f>
        <v>1.2339720138750503E-3</v>
      </c>
      <c r="X13" s="7">
        <f>$B13 * IFERROR(VLOOKUP("transport|SO2|Non-fatal heart attacks", US_national_yearly!$D:$AM, 32, FALSE) / VLOOKUP("transport|SO2|Non-fatal heart attacks", US_national_yearly!$D:$AM, 10, FALSE), 1)</f>
        <v>1.2390179086512298E-3</v>
      </c>
      <c r="Y13" s="7">
        <f>$B13 * IFERROR(VLOOKUP("transport|SO2|Non-fatal heart attacks", US_national_yearly!$D:$AM, 33, FALSE) / VLOOKUP("transport|SO2|Non-fatal heart attacks", US_national_yearly!$D:$AM, 10, FALSE), 1)</f>
        <v>1.2440638034274094E-3</v>
      </c>
      <c r="Z13" s="7">
        <f>$B13 * IFERROR(VLOOKUP("transport|SO2|Non-fatal heart attacks", US_national_yearly!$D:$AM, 34, FALSE) / VLOOKUP("transport|SO2|Non-fatal heart attacks", US_national_yearly!$D:$AM, 10, FALSE), 1)</f>
        <v>1.2491096982035889E-3</v>
      </c>
      <c r="AA13" s="7">
        <f>$B13 * IFERROR(VLOOKUP("transport|SO2|Non-fatal heart attacks", US_national_yearly!$D:$AM, 35, FALSE) / VLOOKUP("transport|SO2|Non-fatal heart attacks", US_national_yearly!$D:$AM, 10, FALSE), 1)</f>
        <v>1.2541555929797684E-3</v>
      </c>
      <c r="AB13" s="7">
        <f>$B13 * IFERROR(VLOOKUP("transport|SO2|Non-fatal heart attacks", US_national_yearly!$D:$AM, 36, FALSE) / VLOOKUP("transport|SO2|Non-fatal heart attacks", US_national_yearly!$D:$AM, 10, FALSE), 1)</f>
        <v>1.259201487755948E-3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1.1213857995221435</v>
      </c>
      <c r="C14" s="7">
        <f>$B14 * IFERROR(VLOOKUP("transport|SO2|Minor restricted activity days", US_national_yearly!$D:$AM, 11, FALSE) / VLOOKUP("transport|SO2|Minor restricted activity days", US_national_yearly!$D:$AM, 10, FALSE), 1)</f>
        <v>1.1242124394855999</v>
      </c>
      <c r="D14" s="7">
        <f>$B14 * IFERROR(VLOOKUP("transport|SO2|Minor restricted activity days", US_national_yearly!$D:$AM, 12, FALSE) / VLOOKUP("transport|SO2|Minor restricted activity days", US_national_yearly!$D:$AM, 10, FALSE), 1)</f>
        <v>1.1270390794490561</v>
      </c>
      <c r="E14" s="7">
        <f>$B14 * IFERROR(VLOOKUP("transport|SO2|Minor restricted activity days", US_national_yearly!$D:$AM, 13, FALSE) / VLOOKUP("transport|SO2|Minor restricted activity days", US_national_yearly!$D:$AM, 10, FALSE), 1)</f>
        <v>1.1298657194125126</v>
      </c>
      <c r="F14" s="7">
        <f>$B14 * IFERROR(VLOOKUP("transport|SO2|Minor restricted activity days", US_national_yearly!$D:$AM, 14, FALSE) / VLOOKUP("transport|SO2|Minor restricted activity days", US_national_yearly!$D:$AM, 10, FALSE), 1)</f>
        <v>1.1326923593759688</v>
      </c>
      <c r="G14" s="7">
        <f>$B14 * IFERROR(VLOOKUP("transport|SO2|Minor restricted activity days", US_national_yearly!$D:$AM, 15, FALSE) / VLOOKUP("transport|SO2|Minor restricted activity days", US_national_yearly!$D:$AM, 10, FALSE), 1)</f>
        <v>1.136852895711516</v>
      </c>
      <c r="H14" s="7">
        <f>$B14 * IFERROR(VLOOKUP("transport|SO2|Minor restricted activity days", US_national_yearly!$D:$AM, 16, FALSE) / VLOOKUP("transport|SO2|Minor restricted activity days", US_national_yearly!$D:$AM, 10, FALSE), 1)</f>
        <v>1.1410134320470633</v>
      </c>
      <c r="I14" s="7">
        <f>$B14 * IFERROR(VLOOKUP("transport|SO2|Minor restricted activity days", US_national_yearly!$D:$AM, 17, FALSE) / VLOOKUP("transport|SO2|Minor restricted activity days", US_national_yearly!$D:$AM, 10, FALSE), 1)</f>
        <v>1.1481088389599154</v>
      </c>
      <c r="J14" s="7">
        <f>$B14 * IFERROR(VLOOKUP("transport|SO2|Minor restricted activity days", US_national_yearly!$D:$AM, 18, FALSE) / VLOOKUP("transport|SO2|Minor restricted activity days", US_national_yearly!$D:$AM, 10, FALSE), 1)</f>
        <v>1.1552042458727678</v>
      </c>
      <c r="K14" s="7">
        <f>$B14 * IFERROR(VLOOKUP("transport|SO2|Minor restricted activity days", US_national_yearly!$D:$AM, 19, FALSE) / VLOOKUP("transport|SO2|Minor restricted activity days", US_national_yearly!$D:$AM, 10, FALSE), 1)</f>
        <v>1.1622996527856204</v>
      </c>
      <c r="L14" s="7">
        <f>$B14 * IFERROR(VLOOKUP("transport|SO2|Minor restricted activity days", US_national_yearly!$D:$AM, 20, FALSE) / VLOOKUP("transport|SO2|Minor restricted activity days", US_national_yearly!$D:$AM, 10, FALSE), 1)</f>
        <v>1.1693950596984728</v>
      </c>
      <c r="M14" s="7">
        <f>$B14 * IFERROR(VLOOKUP("transport|SO2|Minor restricted activity days", US_national_yearly!$D:$AM, 21, FALSE) / VLOOKUP("transport|SO2|Minor restricted activity days", US_national_yearly!$D:$AM, 10, FALSE), 1)</f>
        <v>1.1764904666113252</v>
      </c>
      <c r="N14" s="7">
        <f>$B14 * IFERROR(VLOOKUP("transport|SO2|Minor restricted activity days", US_national_yearly!$D:$AM, 22, FALSE) / VLOOKUP("transport|SO2|Minor restricted activity days", US_national_yearly!$D:$AM, 10, FALSE), 1)</f>
        <v>1.1861958447463627</v>
      </c>
      <c r="O14" s="7">
        <f>$B14 * IFERROR(VLOOKUP("transport|SO2|Minor restricted activity days", US_national_yearly!$D:$AM, 23, FALSE) / VLOOKUP("transport|SO2|Minor restricted activity days", US_national_yearly!$D:$AM, 10, FALSE), 1)</f>
        <v>1.1959012228814003</v>
      </c>
      <c r="P14" s="7">
        <f>$B14 * IFERROR(VLOOKUP("transport|SO2|Minor restricted activity days", US_national_yearly!$D:$AM, 24, FALSE) / VLOOKUP("transport|SO2|Minor restricted activity days", US_national_yearly!$D:$AM, 10, FALSE), 1)</f>
        <v>1.2056066010164377</v>
      </c>
      <c r="Q14" s="7">
        <f>$B14 * IFERROR(VLOOKUP("transport|SO2|Minor restricted activity days", US_national_yearly!$D:$AM, 25, FALSE) / VLOOKUP("transport|SO2|Minor restricted activity days", US_national_yearly!$D:$AM, 10, FALSE), 1)</f>
        <v>1.2153119791514753</v>
      </c>
      <c r="R14" s="7">
        <f>$B14 * IFERROR(VLOOKUP("transport|SO2|Minor restricted activity days", US_national_yearly!$D:$AM, 26, FALSE) / VLOOKUP("transport|SO2|Minor restricted activity days", US_national_yearly!$D:$AM, 10, FALSE), 1)</f>
        <v>1.2250173572865128</v>
      </c>
      <c r="S14" s="7">
        <f>$B14 * IFERROR(VLOOKUP("transport|SO2|Minor restricted activity days", US_national_yearly!$D:$AM, 27, FALSE) / VLOOKUP("transport|SO2|Minor restricted activity days", US_national_yearly!$D:$AM, 10, FALSE), 1)</f>
        <v>1.2349129401986341</v>
      </c>
      <c r="T14" s="7">
        <f>$B14 * IFERROR(VLOOKUP("transport|SO2|Minor restricted activity days", US_national_yearly!$D:$AM, 28, FALSE) / VLOOKUP("transport|SO2|Minor restricted activity days", US_national_yearly!$D:$AM, 10, FALSE), 1)</f>
        <v>1.2448085231107553</v>
      </c>
      <c r="U14" s="7">
        <f>$B14 * IFERROR(VLOOKUP("transport|SO2|Minor restricted activity days", US_national_yearly!$D:$AM, 29, FALSE) / VLOOKUP("transport|SO2|Minor restricted activity days", US_national_yearly!$D:$AM, 10, FALSE), 1)</f>
        <v>1.2547041060228765</v>
      </c>
      <c r="V14" s="7">
        <f>$B14 * IFERROR(VLOOKUP("transport|SO2|Minor restricted activity days", US_national_yearly!$D:$AM, 30, FALSE) / VLOOKUP("transport|SO2|Minor restricted activity days", US_national_yearly!$D:$AM, 10, FALSE), 1)</f>
        <v>1.2645996889349977</v>
      </c>
      <c r="W14" s="7">
        <f>$B14 * IFERROR(VLOOKUP("transport|SO2|Minor restricted activity days", US_national_yearly!$D:$AM, 31, FALSE) / VLOOKUP("transport|SO2|Minor restricted activity days", US_national_yearly!$D:$AM, 10, FALSE), 1)</f>
        <v>1.2744952718471194</v>
      </c>
      <c r="X14" s="7">
        <f>$B14 * IFERROR(VLOOKUP("transport|SO2|Minor restricted activity days", US_national_yearly!$D:$AM, 32, FALSE) / VLOOKUP("transport|SO2|Minor restricted activity days", US_national_yearly!$D:$AM, 10, FALSE), 1)</f>
        <v>1.2831976484510399</v>
      </c>
      <c r="Y14" s="7">
        <f>$B14 * IFERROR(VLOOKUP("transport|SO2|Minor restricted activity days", US_national_yearly!$D:$AM, 33, FALSE) / VLOOKUP("transport|SO2|Minor restricted activity days", US_national_yearly!$D:$AM, 10, FALSE), 1)</f>
        <v>1.2919000250549606</v>
      </c>
      <c r="Z14" s="7">
        <f>$B14 * IFERROR(VLOOKUP("transport|SO2|Minor restricted activity days", US_national_yearly!$D:$AM, 34, FALSE) / VLOOKUP("transport|SO2|Minor restricted activity days", US_national_yearly!$D:$AM, 10, FALSE), 1)</f>
        <v>1.3006024016588815</v>
      </c>
      <c r="AA14" s="7">
        <f>$B14 * IFERROR(VLOOKUP("transport|SO2|Minor restricted activity days", US_national_yearly!$D:$AM, 35, FALSE) / VLOOKUP("transport|SO2|Minor restricted activity days", US_national_yearly!$D:$AM, 10, FALSE), 1)</f>
        <v>1.3093047782628022</v>
      </c>
      <c r="AB14" s="7">
        <f>$B14 * IFERROR(VLOOKUP("transport|SO2|Minor restricted activity days", US_national_yearly!$D:$AM, 36, FALSE) / VLOOKUP("transport|SO2|Minor restricted activity days", US_national_yearly!$D:$AM, 10, FALSE), 1)</f>
        <v>1.3180071548667232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0.19221219525757541</v>
      </c>
      <c r="C15" s="7">
        <f>$B15 * IFERROR(VLOOKUP("transport|SO2|Work loss days", US_national_yearly!$D:$AM, 11, FALSE) / VLOOKUP("transport|SO2|Work loss days", US_national_yearly!$D:$AM, 10, FALSE), 1)</f>
        <v>0.19283493222078374</v>
      </c>
      <c r="D15" s="7">
        <f>$B15 * IFERROR(VLOOKUP("transport|SO2|Work loss days", US_national_yearly!$D:$AM, 12, FALSE) / VLOOKUP("transport|SO2|Work loss days", US_national_yearly!$D:$AM, 10, FALSE), 1)</f>
        <v>0.1934576691839921</v>
      </c>
      <c r="E15" s="7">
        <f>$B15 * IFERROR(VLOOKUP("transport|SO2|Work loss days", US_national_yearly!$D:$AM, 13, FALSE) / VLOOKUP("transport|SO2|Work loss days", US_national_yearly!$D:$AM, 10, FALSE), 1)</f>
        <v>0.19408040614720043</v>
      </c>
      <c r="F15" s="7">
        <f>$B15 * IFERROR(VLOOKUP("transport|SO2|Work loss days", US_national_yearly!$D:$AM, 14, FALSE) / VLOOKUP("transport|SO2|Work loss days", US_national_yearly!$D:$AM, 10, FALSE), 1)</f>
        <v>0.19470314311040879</v>
      </c>
      <c r="G15" s="7">
        <f>$B15 * IFERROR(VLOOKUP("transport|SO2|Work loss days", US_national_yearly!$D:$AM, 15, FALSE) / VLOOKUP("transport|SO2|Work loss days", US_national_yearly!$D:$AM, 10, FALSE), 1)</f>
        <v>0.19551682514957811</v>
      </c>
      <c r="H15" s="7">
        <f>$B15 * IFERROR(VLOOKUP("transport|SO2|Work loss days", US_national_yearly!$D:$AM, 16, FALSE) / VLOOKUP("transport|SO2|Work loss days", US_national_yearly!$D:$AM, 10, FALSE), 1)</f>
        <v>0.19633050718874739</v>
      </c>
      <c r="I15" s="7">
        <f>$B15 * IFERROR(VLOOKUP("transport|SO2|Work loss days", US_national_yearly!$D:$AM, 17, FALSE) / VLOOKUP("transport|SO2|Work loss days", US_national_yearly!$D:$AM, 10, FALSE), 1)</f>
        <v>0.19752081478311859</v>
      </c>
      <c r="J15" s="7">
        <f>$B15 * IFERROR(VLOOKUP("transport|SO2|Work loss days", US_national_yearly!$D:$AM, 18, FALSE) / VLOOKUP("transport|SO2|Work loss days", US_national_yearly!$D:$AM, 10, FALSE), 1)</f>
        <v>0.19871112237748975</v>
      </c>
      <c r="K15" s="7">
        <f>$B15 * IFERROR(VLOOKUP("transport|SO2|Work loss days", US_national_yearly!$D:$AM, 19, FALSE) / VLOOKUP("transport|SO2|Work loss days", US_national_yearly!$D:$AM, 10, FALSE), 1)</f>
        <v>0.19990142997186094</v>
      </c>
      <c r="L15" s="7">
        <f>$B15 * IFERROR(VLOOKUP("transport|SO2|Work loss days", US_national_yearly!$D:$AM, 20, FALSE) / VLOOKUP("transport|SO2|Work loss days", US_national_yearly!$D:$AM, 10, FALSE), 1)</f>
        <v>0.20109173756623214</v>
      </c>
      <c r="M15" s="7">
        <f>$B15 * IFERROR(VLOOKUP("transport|SO2|Work loss days", US_national_yearly!$D:$AM, 21, FALSE) / VLOOKUP("transport|SO2|Work loss days", US_national_yearly!$D:$AM, 10, FALSE), 1)</f>
        <v>0.20228204516060333</v>
      </c>
      <c r="N15" s="7">
        <f>$B15 * IFERROR(VLOOKUP("transport|SO2|Work loss days", US_national_yearly!$D:$AM, 22, FALSE) / VLOOKUP("transport|SO2|Work loss days", US_national_yearly!$D:$AM, 10, FALSE), 1)</f>
        <v>0.20377449799391098</v>
      </c>
      <c r="O15" s="7">
        <f>$B15 * IFERROR(VLOOKUP("transport|SO2|Work loss days", US_national_yearly!$D:$AM, 23, FALSE) / VLOOKUP("transport|SO2|Work loss days", US_national_yearly!$D:$AM, 10, FALSE), 1)</f>
        <v>0.2052669508272186</v>
      </c>
      <c r="P15" s="7">
        <f>$B15 * IFERROR(VLOOKUP("transport|SO2|Work loss days", US_national_yearly!$D:$AM, 24, FALSE) / VLOOKUP("transport|SO2|Work loss days", US_national_yearly!$D:$AM, 10, FALSE), 1)</f>
        <v>0.2067594036605262</v>
      </c>
      <c r="Q15" s="7">
        <f>$B15 * IFERROR(VLOOKUP("transport|SO2|Work loss days", US_national_yearly!$D:$AM, 25, FALSE) / VLOOKUP("transport|SO2|Work loss days", US_national_yearly!$D:$AM, 10, FALSE), 1)</f>
        <v>0.20825185649383382</v>
      </c>
      <c r="R15" s="7">
        <f>$B15 * IFERROR(VLOOKUP("transport|SO2|Work loss days", US_national_yearly!$D:$AM, 26, FALSE) / VLOOKUP("transport|SO2|Work loss days", US_national_yearly!$D:$AM, 10, FALSE), 1)</f>
        <v>0.20974430932714147</v>
      </c>
      <c r="S15" s="7">
        <f>$B15 * IFERROR(VLOOKUP("transport|SO2|Work loss days", US_national_yearly!$D:$AM, 27, FALSE) / VLOOKUP("transport|SO2|Work loss days", US_national_yearly!$D:$AM, 10, FALSE), 1)</f>
        <v>0.2114121204478086</v>
      </c>
      <c r="T15" s="7">
        <f>$B15 * IFERROR(VLOOKUP("transport|SO2|Work loss days", US_national_yearly!$D:$AM, 28, FALSE) / VLOOKUP("transport|SO2|Work loss days", US_national_yearly!$D:$AM, 10, FALSE), 1)</f>
        <v>0.21307993156847577</v>
      </c>
      <c r="U15" s="7">
        <f>$B15 * IFERROR(VLOOKUP("transport|SO2|Work loss days", US_national_yearly!$D:$AM, 29, FALSE) / VLOOKUP("transport|SO2|Work loss days", US_national_yearly!$D:$AM, 10, FALSE), 1)</f>
        <v>0.2147477426891429</v>
      </c>
      <c r="V15" s="7">
        <f>$B15 * IFERROR(VLOOKUP("transport|SO2|Work loss days", US_national_yearly!$D:$AM, 30, FALSE) / VLOOKUP("transport|SO2|Work loss days", US_national_yearly!$D:$AM, 10, FALSE), 1)</f>
        <v>0.21641555380981001</v>
      </c>
      <c r="W15" s="7">
        <f>$B15 * IFERROR(VLOOKUP("transport|SO2|Work loss days", US_national_yearly!$D:$AM, 31, FALSE) / VLOOKUP("transport|SO2|Work loss days", US_national_yearly!$D:$AM, 10, FALSE), 1)</f>
        <v>0.2180833649304772</v>
      </c>
      <c r="X15" s="7">
        <f>$B15 * IFERROR(VLOOKUP("transport|SO2|Work loss days", US_national_yearly!$D:$AM, 32, FALSE) / VLOOKUP("transport|SO2|Work loss days", US_national_yearly!$D:$AM, 10, FALSE), 1)</f>
        <v>0.21958082943139631</v>
      </c>
      <c r="Y15" s="7">
        <f>$B15 * IFERROR(VLOOKUP("transport|SO2|Work loss days", US_national_yearly!$D:$AM, 33, FALSE) / VLOOKUP("transport|SO2|Work loss days", US_national_yearly!$D:$AM, 10, FALSE), 1)</f>
        <v>0.22107829393231548</v>
      </c>
      <c r="Z15" s="7">
        <f>$B15 * IFERROR(VLOOKUP("transport|SO2|Work loss days", US_national_yearly!$D:$AM, 34, FALSE) / VLOOKUP("transport|SO2|Work loss days", US_national_yearly!$D:$AM, 10, FALSE), 1)</f>
        <v>0.22257575843323463</v>
      </c>
      <c r="AA15" s="7">
        <f>$B15 * IFERROR(VLOOKUP("transport|SO2|Work loss days", US_national_yearly!$D:$AM, 35, FALSE) / VLOOKUP("transport|SO2|Work loss days", US_national_yearly!$D:$AM, 10, FALSE), 1)</f>
        <v>0.2240732229341538</v>
      </c>
      <c r="AB15" s="7">
        <f>$B15 * IFERROR(VLOOKUP("transport|SO2|Work loss days", US_national_yearly!$D:$AM, 36, FALSE) / VLOOKUP("transport|SO2|Work loss days", US_national_yearly!$D:$AM, 10, FALSE), 1)</f>
        <v>0.22557068743507297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1.6323181367051354E-4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1.6816856879937092E-4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1.7310532392822827E-4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1.7804207905708564E-4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1.8297883418594304E-4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1.8770777618734718E-4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1.9243671818875135E-4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1.9648849863897918E-4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2.0054027908920701E-4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2.0459205953943482E-4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2.0864383998966265E-4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2.1269562043989043E-4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2.1541749394830048E-4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2.1813936745671049E-4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2.2086124096512048E-4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2.235831144735305E-4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2.2630498798194054E-4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2.277364996497894E-4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2.2916801131763826E-4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2.3059952298548712E-4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2.3203103465333597E-4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2.3346254632118483E-4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2.3442356742597203E-4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2.3538458853075925E-4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2.3634560963554647E-4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2.3730663074033372E-4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2.3826765184512089E-4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2.4630815758017888E-3</v>
      </c>
      <c r="C2" s="7">
        <f>$B2 * IFERROR(VLOOKUP("electricity|PM25|Premature mortality", US_national_yearly!$D:$AM, 11, FALSE) / VLOOKUP("electricity|PM25|Premature mortality", US_national_yearly!$D:$AM, 10, FALSE), 1)</f>
        <v>2.4935898897672079E-3</v>
      </c>
      <c r="D2" s="7">
        <f>$B2 * IFERROR(VLOOKUP("electricity|PM25|Premature mortality", US_national_yearly!$D:$AM, 12, FALSE) / VLOOKUP("electricity|PM25|Premature mortality", US_national_yearly!$D:$AM, 10, FALSE), 1)</f>
        <v>2.5240982037326265E-3</v>
      </c>
      <c r="E2" s="7">
        <f>$B2 * IFERROR(VLOOKUP("electricity|PM25|Premature mortality", US_national_yearly!$D:$AM, 13, FALSE) / VLOOKUP("electricity|PM25|Premature mortality", US_national_yearly!$D:$AM, 10, FALSE), 1)</f>
        <v>2.5546065176980455E-3</v>
      </c>
      <c r="F2" s="7">
        <f>$B2 * IFERROR(VLOOKUP("electricity|PM25|Premature mortality", US_national_yearly!$D:$AM, 14, FALSE) / VLOOKUP("electricity|PM25|Premature mortality", US_national_yearly!$D:$AM, 10, FALSE), 1)</f>
        <v>2.585114831663465E-3</v>
      </c>
      <c r="G2" s="7">
        <f>$B2 * IFERROR(VLOOKUP("electricity|PM25|Premature mortality", US_national_yearly!$D:$AM, 15, FALSE) / VLOOKUP("electricity|PM25|Premature mortality", US_national_yearly!$D:$AM, 10, FALSE), 1)</f>
        <v>2.6450347827747869E-3</v>
      </c>
      <c r="H2" s="7">
        <f>$B2 * IFERROR(VLOOKUP("electricity|PM25|Premature mortality", US_national_yearly!$D:$AM, 16, FALSE) / VLOOKUP("electricity|PM25|Premature mortality", US_national_yearly!$D:$AM, 10, FALSE), 1)</f>
        <v>2.7049547338861097E-3</v>
      </c>
      <c r="I2" s="7">
        <f>$B2 * IFERROR(VLOOKUP("electricity|PM25|Premature mortality", US_national_yearly!$D:$AM, 17, FALSE) / VLOOKUP("electricity|PM25|Premature mortality", US_national_yearly!$D:$AM, 10, FALSE), 1)</f>
        <v>2.7452154580202082E-3</v>
      </c>
      <c r="J2" s="7">
        <f>$B2 * IFERROR(VLOOKUP("electricity|PM25|Premature mortality", US_national_yearly!$D:$AM, 18, FALSE) / VLOOKUP("electricity|PM25|Premature mortality", US_national_yearly!$D:$AM, 10, FALSE), 1)</f>
        <v>2.7854761821543071E-3</v>
      </c>
      <c r="K2" s="7">
        <f>$B2 * IFERROR(VLOOKUP("electricity|PM25|Premature mortality", US_national_yearly!$D:$AM, 19, FALSE) / VLOOKUP("electricity|PM25|Premature mortality", US_national_yearly!$D:$AM, 10, FALSE), 1)</f>
        <v>2.8257369062884051E-3</v>
      </c>
      <c r="L2" s="7">
        <f>$B2 * IFERROR(VLOOKUP("electricity|PM25|Premature mortality", US_national_yearly!$D:$AM, 20, FALSE) / VLOOKUP("electricity|PM25|Premature mortality", US_national_yearly!$D:$AM, 10, FALSE), 1)</f>
        <v>2.865997630422504E-3</v>
      </c>
      <c r="M2" s="7">
        <f>$B2 * IFERROR(VLOOKUP("electricity|PM25|Premature mortality", US_national_yearly!$D:$AM, 21, FALSE) / VLOOKUP("electricity|PM25|Premature mortality", US_national_yearly!$D:$AM, 10, FALSE), 1)</f>
        <v>2.9062583545566025E-3</v>
      </c>
      <c r="N2" s="7">
        <f>$B2 * IFERROR(VLOOKUP("electricity|PM25|Premature mortality", US_national_yearly!$D:$AM, 22, FALSE) / VLOOKUP("electricity|PM25|Premature mortality", US_national_yearly!$D:$AM, 10, FALSE), 1)</f>
        <v>2.938350709869779E-3</v>
      </c>
      <c r="O2" s="7">
        <f>$B2 * IFERROR(VLOOKUP("electricity|PM25|Premature mortality", US_national_yearly!$D:$AM, 23, FALSE) / VLOOKUP("electricity|PM25|Premature mortality", US_national_yearly!$D:$AM, 10, FALSE), 1)</f>
        <v>2.9704430651829551E-3</v>
      </c>
      <c r="P2" s="7">
        <f>$B2 * IFERROR(VLOOKUP("electricity|PM25|Premature mortality", US_national_yearly!$D:$AM, 24, FALSE) / VLOOKUP("electricity|PM25|Premature mortality", US_national_yearly!$D:$AM, 10, FALSE), 1)</f>
        <v>3.002535420496132E-3</v>
      </c>
      <c r="Q2" s="7">
        <f>$B2 * IFERROR(VLOOKUP("electricity|PM25|Premature mortality", US_national_yearly!$D:$AM, 25, FALSE) / VLOOKUP("electricity|PM25|Premature mortality", US_national_yearly!$D:$AM, 10, FALSE), 1)</f>
        <v>3.0346277758093081E-3</v>
      </c>
      <c r="R2" s="7">
        <f>$B2 * IFERROR(VLOOKUP("electricity|PM25|Premature mortality", US_national_yearly!$D:$AM, 26, FALSE) / VLOOKUP("electricity|PM25|Premature mortality", US_national_yearly!$D:$AM, 10, FALSE), 1)</f>
        <v>3.0667201311224846E-3</v>
      </c>
      <c r="S2" s="7">
        <f>$B2 * IFERROR(VLOOKUP("electricity|PM25|Premature mortality", US_national_yearly!$D:$AM, 27, FALSE) / VLOOKUP("electricity|PM25|Premature mortality", US_national_yearly!$D:$AM, 10, FALSE), 1)</f>
        <v>3.0850835488396267E-3</v>
      </c>
      <c r="T2" s="7">
        <f>$B2 * IFERROR(VLOOKUP("electricity|PM25|Premature mortality", US_national_yearly!$D:$AM, 28, FALSE) / VLOOKUP("electricity|PM25|Premature mortality", US_national_yearly!$D:$AM, 10, FALSE), 1)</f>
        <v>3.1034469665567679E-3</v>
      </c>
      <c r="U2" s="7">
        <f>$B2 * IFERROR(VLOOKUP("electricity|PM25|Premature mortality", US_national_yearly!$D:$AM, 29, FALSE) / VLOOKUP("electricity|PM25|Premature mortality", US_national_yearly!$D:$AM, 10, FALSE), 1)</f>
        <v>3.12181038427391E-3</v>
      </c>
      <c r="V2" s="7">
        <f>$B2 * IFERROR(VLOOKUP("electricity|PM25|Premature mortality", US_national_yearly!$D:$AM, 30, FALSE) / VLOOKUP("electricity|PM25|Premature mortality", US_national_yearly!$D:$AM, 10, FALSE), 1)</f>
        <v>3.1401738019910513E-3</v>
      </c>
      <c r="W2" s="7">
        <f>$B2 * IFERROR(VLOOKUP("electricity|PM25|Premature mortality", US_national_yearly!$D:$AM, 31, FALSE) / VLOOKUP("electricity|PM25|Premature mortality", US_national_yearly!$D:$AM, 10, FALSE), 1)</f>
        <v>3.1585372197081929E-3</v>
      </c>
      <c r="X2" s="7">
        <f>$B2 * IFERROR(VLOOKUP("electricity|PM25|Premature mortality", US_national_yearly!$D:$AM, 32, FALSE) / VLOOKUP("electricity|PM25|Premature mortality", US_national_yearly!$D:$AM, 10, FALSE), 1)</f>
        <v>3.1636384584196346E-3</v>
      </c>
      <c r="Y2" s="7">
        <f>$B2 * IFERROR(VLOOKUP("electricity|PM25|Premature mortality", US_national_yearly!$D:$AM, 33, FALSE) / VLOOKUP("electricity|PM25|Premature mortality", US_national_yearly!$D:$AM, 10, FALSE), 1)</f>
        <v>3.1687396971310767E-3</v>
      </c>
      <c r="Z2" s="7">
        <f>$B2 * IFERROR(VLOOKUP("electricity|PM25|Premature mortality", US_national_yearly!$D:$AM, 34, FALSE) / VLOOKUP("electricity|PM25|Premature mortality", US_national_yearly!$D:$AM, 10, FALSE), 1)</f>
        <v>3.1738409358425183E-3</v>
      </c>
      <c r="AA2" s="7">
        <f>$B2 * IFERROR(VLOOKUP("electricity|PM25|Premature mortality", US_national_yearly!$D:$AM, 35, FALSE) / VLOOKUP("electricity|PM25|Premature mortality", US_national_yearly!$D:$AM, 10, FALSE), 1)</f>
        <v>3.1789421745539604E-3</v>
      </c>
      <c r="AB2" s="7">
        <f>$B2 * IFERROR(VLOOKUP("electricity|PM25|Premature mortality", US_national_yearly!$D:$AM, 36, FALSE) / VLOOKUP("electricity|PM25|Premature mortality", US_national_yearly!$D:$AM, 10, FALSE), 1)</f>
        <v>3.1840434132654025E-3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1.2221121738475975E-5</v>
      </c>
      <c r="C3" s="7">
        <f>$B3 * IFERROR(VLOOKUP("electricity|PM25|Infant mortality", US_national_yearly!$D:$AM, 11, FALSE) / VLOOKUP("electricity|PM25|Infant mortality", US_national_yearly!$D:$AM, 10, FALSE), 1)</f>
        <v>1.2114639135552308E-5</v>
      </c>
      <c r="D3" s="7">
        <f>$B3 * IFERROR(VLOOKUP("electricity|PM25|Infant mortality", US_national_yearly!$D:$AM, 12, FALSE) / VLOOKUP("electricity|PM25|Infant mortality", US_national_yearly!$D:$AM, 10, FALSE), 1)</f>
        <v>1.2008156532628645E-5</v>
      </c>
      <c r="E3" s="7">
        <f>$B3 * IFERROR(VLOOKUP("electricity|PM25|Infant mortality", US_national_yearly!$D:$AM, 13, FALSE) / VLOOKUP("electricity|PM25|Infant mortality", US_national_yearly!$D:$AM, 10, FALSE), 1)</f>
        <v>1.1901673929704978E-5</v>
      </c>
      <c r="F3" s="7">
        <f>$B3 * IFERROR(VLOOKUP("electricity|PM25|Infant mortality", US_national_yearly!$D:$AM, 14, FALSE) / VLOOKUP("electricity|PM25|Infant mortality", US_national_yearly!$D:$AM, 10, FALSE), 1)</f>
        <v>1.1795191326781314E-5</v>
      </c>
      <c r="G3" s="7">
        <f>$B3 * IFERROR(VLOOKUP("electricity|PM25|Infant mortality", US_national_yearly!$D:$AM, 15, FALSE) / VLOOKUP("electricity|PM25|Infant mortality", US_national_yearly!$D:$AM, 10, FALSE), 1)</f>
        <v>7.8222032504950026E-6</v>
      </c>
      <c r="H3" s="7">
        <f>$B3 * IFERROR(VLOOKUP("electricity|PM25|Infant mortality", US_national_yearly!$D:$AM, 16, FALSE) / VLOOKUP("electricity|PM25|Infant mortality", US_national_yearly!$D:$AM, 10, FALSE), 1)</f>
        <v>3.8492151742086917E-6</v>
      </c>
      <c r="I3" s="7">
        <f>$B3 * IFERROR(VLOOKUP("electricity|PM25|Infant mortality", US_national_yearly!$D:$AM, 17, FALSE) / VLOOKUP("electricity|PM25|Infant mortality", US_national_yearly!$D:$AM, 10, FALSE), 1)</f>
        <v>3.8220379512747107E-6</v>
      </c>
      <c r="J3" s="7">
        <f>$B3 * IFERROR(VLOOKUP("electricity|PM25|Infant mortality", US_national_yearly!$D:$AM, 18, FALSE) / VLOOKUP("electricity|PM25|Infant mortality", US_national_yearly!$D:$AM, 10, FALSE), 1)</f>
        <v>3.7948607283407314E-6</v>
      </c>
      <c r="K3" s="7">
        <f>$B3 * IFERROR(VLOOKUP("electricity|PM25|Infant mortality", US_national_yearly!$D:$AM, 19, FALSE) / VLOOKUP("electricity|PM25|Infant mortality", US_national_yearly!$D:$AM, 10, FALSE), 1)</f>
        <v>3.7676835054067504E-6</v>
      </c>
      <c r="L3" s="7">
        <f>$B3 * IFERROR(VLOOKUP("electricity|PM25|Infant mortality", US_national_yearly!$D:$AM, 20, FALSE) / VLOOKUP("electricity|PM25|Infant mortality", US_national_yearly!$D:$AM, 10, FALSE), 1)</f>
        <v>3.7405062824727699E-6</v>
      </c>
      <c r="M3" s="7">
        <f>$B3 * IFERROR(VLOOKUP("electricity|PM25|Infant mortality", US_national_yearly!$D:$AM, 21, FALSE) / VLOOKUP("electricity|PM25|Infant mortality", US_national_yearly!$D:$AM, 10, FALSE), 1)</f>
        <v>3.7133290595387898E-6</v>
      </c>
      <c r="N3" s="7">
        <f>$B3 * IFERROR(VLOOKUP("electricity|PM25|Infant mortality", US_national_yearly!$D:$AM, 22, FALSE) / VLOOKUP("electricity|PM25|Infant mortality", US_national_yearly!$D:$AM, 10, FALSE), 1)</f>
        <v>3.6958504969350224E-6</v>
      </c>
      <c r="O3" s="7">
        <f>$B3 * IFERROR(VLOOKUP("electricity|PM25|Infant mortality", US_national_yearly!$D:$AM, 23, FALSE) / VLOOKUP("electricity|PM25|Infant mortality", US_national_yearly!$D:$AM, 10, FALSE), 1)</f>
        <v>3.6783719343312549E-6</v>
      </c>
      <c r="P3" s="7">
        <f>$B3 * IFERROR(VLOOKUP("electricity|PM25|Infant mortality", US_national_yearly!$D:$AM, 24, FALSE) / VLOOKUP("electricity|PM25|Infant mortality", US_national_yearly!$D:$AM, 10, FALSE), 1)</f>
        <v>3.6608933717274867E-6</v>
      </c>
      <c r="Q3" s="7">
        <f>$B3 * IFERROR(VLOOKUP("electricity|PM25|Infant mortality", US_national_yearly!$D:$AM, 25, FALSE) / VLOOKUP("electricity|PM25|Infant mortality", US_national_yearly!$D:$AM, 10, FALSE), 1)</f>
        <v>3.6434148091237193E-6</v>
      </c>
      <c r="R3" s="7">
        <f>$B3 * IFERROR(VLOOKUP("electricity|PM25|Infant mortality", US_national_yearly!$D:$AM, 26, FALSE) / VLOOKUP("electricity|PM25|Infant mortality", US_national_yearly!$D:$AM, 10, FALSE), 1)</f>
        <v>3.625936246519951E-6</v>
      </c>
      <c r="S3" s="7">
        <f>$B3 * IFERROR(VLOOKUP("electricity|PM25|Infant mortality", US_national_yearly!$D:$AM, 27, FALSE) / VLOOKUP("electricity|PM25|Infant mortality", US_national_yearly!$D:$AM, 10, FALSE), 1)</f>
        <v>3.6049965379356383E-6</v>
      </c>
      <c r="T3" s="7">
        <f>$B3 * IFERROR(VLOOKUP("electricity|PM25|Infant mortality", US_national_yearly!$D:$AM, 28, FALSE) / VLOOKUP("electricity|PM25|Infant mortality", US_national_yearly!$D:$AM, 10, FALSE), 1)</f>
        <v>3.5840568293513261E-6</v>
      </c>
      <c r="U3" s="7">
        <f>$B3 * IFERROR(VLOOKUP("electricity|PM25|Infant mortality", US_national_yearly!$D:$AM, 29, FALSE) / VLOOKUP("electricity|PM25|Infant mortality", US_national_yearly!$D:$AM, 10, FALSE), 1)</f>
        <v>3.5631171207670143E-6</v>
      </c>
      <c r="V3" s="7">
        <f>$B3 * IFERROR(VLOOKUP("electricity|PM25|Infant mortality", US_national_yearly!$D:$AM, 30, FALSE) / VLOOKUP("electricity|PM25|Infant mortality", US_national_yearly!$D:$AM, 10, FALSE), 1)</f>
        <v>3.542177412182702E-6</v>
      </c>
      <c r="W3" s="7">
        <f>$B3 * IFERROR(VLOOKUP("electricity|PM25|Infant mortality", US_national_yearly!$D:$AM, 31, FALSE) / VLOOKUP("electricity|PM25|Infant mortality", US_national_yearly!$D:$AM, 10, FALSE), 1)</f>
        <v>3.5212377035983893E-6</v>
      </c>
      <c r="X3" s="7">
        <f>$B3 * IFERROR(VLOOKUP("electricity|PM25|Infant mortality", US_national_yearly!$D:$AM, 32, FALSE) / VLOOKUP("electricity|PM25|Infant mortality", US_national_yearly!$D:$AM, 10, FALSE), 1)</f>
        <v>3.4995991292186214E-6</v>
      </c>
      <c r="Y3" s="7">
        <f>$B3 * IFERROR(VLOOKUP("electricity|PM25|Infant mortality", US_national_yearly!$D:$AM, 33, FALSE) / VLOOKUP("electricity|PM25|Infant mortality", US_national_yearly!$D:$AM, 10, FALSE), 1)</f>
        <v>3.4779605548388538E-6</v>
      </c>
      <c r="Z3" s="7">
        <f>$B3 * IFERROR(VLOOKUP("electricity|PM25|Infant mortality", US_national_yearly!$D:$AM, 34, FALSE) / VLOOKUP("electricity|PM25|Infant mortality", US_national_yearly!$D:$AM, 10, FALSE), 1)</f>
        <v>3.4563219804590859E-6</v>
      </c>
      <c r="AA3" s="7">
        <f>$B3 * IFERROR(VLOOKUP("electricity|PM25|Infant mortality", US_national_yearly!$D:$AM, 35, FALSE) / VLOOKUP("electricity|PM25|Infant mortality", US_national_yearly!$D:$AM, 10, FALSE), 1)</f>
        <v>3.4346834060793179E-6</v>
      </c>
      <c r="AB3" s="7">
        <f>$B3 * IFERROR(VLOOKUP("electricity|PM25|Infant mortality", US_national_yearly!$D:$AM, 36, FALSE) / VLOOKUP("electricity|PM25|Infant mortality", US_national_yearly!$D:$AM, 10, FALSE), 1)</f>
        <v>3.41304483169955E-6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1.3279799087959518E-2</v>
      </c>
      <c r="C6" s="7">
        <f>$B6 * IFERROR(VLOOKUP("electricity|PM25|Asthma symptoms cough", US_national_yearly!$D:$AM, 11, FALSE) / VLOOKUP("electricity|PM25|Asthma symptoms cough", US_national_yearly!$D:$AM, 10, FALSE), 1)</f>
        <v>1.3279799087959518E-2</v>
      </c>
      <c r="D6" s="7">
        <f>$B6 * IFERROR(VLOOKUP("electricity|PM25|Asthma symptoms cough", US_national_yearly!$D:$AM, 12, FALSE) / VLOOKUP("electricity|PM25|Asthma symptoms cough", US_national_yearly!$D:$AM, 10, FALSE), 1)</f>
        <v>1.3279799087959518E-2</v>
      </c>
      <c r="E6" s="7">
        <f>$B6 * IFERROR(VLOOKUP("electricity|PM25|Asthma symptoms cough", US_national_yearly!$D:$AM, 13, FALSE) / VLOOKUP("electricity|PM25|Asthma symptoms cough", US_national_yearly!$D:$AM, 10, FALSE), 1)</f>
        <v>1.3279799087959518E-2</v>
      </c>
      <c r="F6" s="7">
        <f>$B6 * IFERROR(VLOOKUP("electricity|PM25|Asthma symptoms cough", US_national_yearly!$D:$AM, 14, FALSE) / VLOOKUP("electricity|PM25|Asthma symptoms cough", US_national_yearly!$D:$AM, 10, FALSE), 1)</f>
        <v>1.3279799087959518E-2</v>
      </c>
      <c r="G6" s="7">
        <f>$B6 * IFERROR(VLOOKUP("electricity|PM25|Asthma symptoms cough", US_national_yearly!$D:$AM, 15, FALSE) / VLOOKUP("electricity|PM25|Asthma symptoms cough", US_national_yearly!$D:$AM, 10, FALSE), 1)</f>
        <v>1.3279799087959518E-2</v>
      </c>
      <c r="H6" s="7">
        <f>$B6 * IFERROR(VLOOKUP("electricity|PM25|Asthma symptoms cough", US_national_yearly!$D:$AM, 16, FALSE) / VLOOKUP("electricity|PM25|Asthma symptoms cough", US_national_yearly!$D:$AM, 10, FALSE), 1)</f>
        <v>1.3279799087959518E-2</v>
      </c>
      <c r="I6" s="7">
        <f>$B6 * IFERROR(VLOOKUP("electricity|PM25|Asthma symptoms cough", US_national_yearly!$D:$AM, 17, FALSE) / VLOOKUP("electricity|PM25|Asthma symptoms cough", US_national_yearly!$D:$AM, 10, FALSE), 1)</f>
        <v>1.3279799087959518E-2</v>
      </c>
      <c r="J6" s="7">
        <f>$B6 * IFERROR(VLOOKUP("electricity|PM25|Asthma symptoms cough", US_national_yearly!$D:$AM, 18, FALSE) / VLOOKUP("electricity|PM25|Asthma symptoms cough", US_national_yearly!$D:$AM, 10, FALSE), 1)</f>
        <v>1.3279799087959518E-2</v>
      </c>
      <c r="K6" s="7">
        <f>$B6 * IFERROR(VLOOKUP("electricity|PM25|Asthma symptoms cough", US_national_yearly!$D:$AM, 19, FALSE) / VLOOKUP("electricity|PM25|Asthma symptoms cough", US_national_yearly!$D:$AM, 10, FALSE), 1)</f>
        <v>1.3279799087959518E-2</v>
      </c>
      <c r="L6" s="7">
        <f>$B6 * IFERROR(VLOOKUP("electricity|PM25|Asthma symptoms cough", US_national_yearly!$D:$AM, 20, FALSE) / VLOOKUP("electricity|PM25|Asthma symptoms cough", US_national_yearly!$D:$AM, 10, FALSE), 1)</f>
        <v>1.3279799087959518E-2</v>
      </c>
      <c r="M6" s="7">
        <f>$B6 * IFERROR(VLOOKUP("electricity|PM25|Asthma symptoms cough", US_national_yearly!$D:$AM, 21, FALSE) / VLOOKUP("electricity|PM25|Asthma symptoms cough", US_national_yearly!$D:$AM, 10, FALSE), 1)</f>
        <v>1.3279799087959518E-2</v>
      </c>
      <c r="N6" s="7">
        <f>$B6 * IFERROR(VLOOKUP("electricity|PM25|Asthma symptoms cough", US_national_yearly!$D:$AM, 22, FALSE) / VLOOKUP("electricity|PM25|Asthma symptoms cough", US_national_yearly!$D:$AM, 10, FALSE), 1)</f>
        <v>1.3279799087959518E-2</v>
      </c>
      <c r="O6" s="7">
        <f>$B6 * IFERROR(VLOOKUP("electricity|PM25|Asthma symptoms cough", US_national_yearly!$D:$AM, 23, FALSE) / VLOOKUP("electricity|PM25|Asthma symptoms cough", US_national_yearly!$D:$AM, 10, FALSE), 1)</f>
        <v>1.3279799087959518E-2</v>
      </c>
      <c r="P6" s="7">
        <f>$B6 * IFERROR(VLOOKUP("electricity|PM25|Asthma symptoms cough", US_national_yearly!$D:$AM, 24, FALSE) / VLOOKUP("electricity|PM25|Asthma symptoms cough", US_national_yearly!$D:$AM, 10, FALSE), 1)</f>
        <v>1.3279799087959518E-2</v>
      </c>
      <c r="Q6" s="7">
        <f>$B6 * IFERROR(VLOOKUP("electricity|PM25|Asthma symptoms cough", US_national_yearly!$D:$AM, 25, FALSE) / VLOOKUP("electricity|PM25|Asthma symptoms cough", US_national_yearly!$D:$AM, 10, FALSE), 1)</f>
        <v>1.3279799087959518E-2</v>
      </c>
      <c r="R6" s="7">
        <f>$B6 * IFERROR(VLOOKUP("electricity|PM25|Asthma symptoms cough", US_national_yearly!$D:$AM, 26, FALSE) / VLOOKUP("electricity|PM25|Asthma symptoms cough", US_national_yearly!$D:$AM, 10, FALSE), 1)</f>
        <v>1.3279799087959518E-2</v>
      </c>
      <c r="S6" s="7">
        <f>$B6 * IFERROR(VLOOKUP("electricity|PM25|Asthma symptoms cough", US_national_yearly!$D:$AM, 27, FALSE) / VLOOKUP("electricity|PM25|Asthma symptoms cough", US_national_yearly!$D:$AM, 10, FALSE), 1)</f>
        <v>1.3279799087959518E-2</v>
      </c>
      <c r="T6" s="7">
        <f>$B6 * IFERROR(VLOOKUP("electricity|PM25|Asthma symptoms cough", US_national_yearly!$D:$AM, 28, FALSE) / VLOOKUP("electricity|PM25|Asthma symptoms cough", US_national_yearly!$D:$AM, 10, FALSE), 1)</f>
        <v>1.3279799087959518E-2</v>
      </c>
      <c r="U6" s="7">
        <f>$B6 * IFERROR(VLOOKUP("electricity|PM25|Asthma symptoms cough", US_national_yearly!$D:$AM, 29, FALSE) / VLOOKUP("electricity|PM25|Asthma symptoms cough", US_national_yearly!$D:$AM, 10, FALSE), 1)</f>
        <v>1.3279799087959518E-2</v>
      </c>
      <c r="V6" s="7">
        <f>$B6 * IFERROR(VLOOKUP("electricity|PM25|Asthma symptoms cough", US_national_yearly!$D:$AM, 30, FALSE) / VLOOKUP("electricity|PM25|Asthma symptoms cough", US_national_yearly!$D:$AM, 10, FALSE), 1)</f>
        <v>1.3279799087959518E-2</v>
      </c>
      <c r="W6" s="7">
        <f>$B6 * IFERROR(VLOOKUP("electricity|PM25|Asthma symptoms cough", US_national_yearly!$D:$AM, 31, FALSE) / VLOOKUP("electricity|PM25|Asthma symptoms cough", US_national_yearly!$D:$AM, 10, FALSE), 1)</f>
        <v>1.3279799087959518E-2</v>
      </c>
      <c r="X6" s="7">
        <f>$B6 * IFERROR(VLOOKUP("electricity|PM25|Asthma symptoms cough", US_national_yearly!$D:$AM, 32, FALSE) / VLOOKUP("electricity|PM25|Asthma symptoms cough", US_national_yearly!$D:$AM, 10, FALSE), 1)</f>
        <v>1.3279799087959518E-2</v>
      </c>
      <c r="Y6" s="7">
        <f>$B6 * IFERROR(VLOOKUP("electricity|PM25|Asthma symptoms cough", US_national_yearly!$D:$AM, 33, FALSE) / VLOOKUP("electricity|PM25|Asthma symptoms cough", US_national_yearly!$D:$AM, 10, FALSE), 1)</f>
        <v>1.3279799087959518E-2</v>
      </c>
      <c r="Z6" s="7">
        <f>$B6 * IFERROR(VLOOKUP("electricity|PM25|Asthma symptoms cough", US_national_yearly!$D:$AM, 34, FALSE) / VLOOKUP("electricity|PM25|Asthma symptoms cough", US_national_yearly!$D:$AM, 10, FALSE), 1)</f>
        <v>1.3279799087959518E-2</v>
      </c>
      <c r="AA6" s="7">
        <f>$B6 * IFERROR(VLOOKUP("electricity|PM25|Asthma symptoms cough", US_national_yearly!$D:$AM, 35, FALSE) / VLOOKUP("electricity|PM25|Asthma symptoms cough", US_national_yearly!$D:$AM, 10, FALSE), 1)</f>
        <v>1.3279799087959518E-2</v>
      </c>
      <c r="AB6" s="7">
        <f>$B6 * IFERROR(VLOOKUP("electricity|PM25|Asthma symptoms cough", US_national_yearly!$D:$AM, 36, FALSE) / VLOOKUP("electricity|PM25|Asthma symptoms cough", US_national_yearly!$D:$AM, 10, FALSE), 1)</f>
        <v>1.3279799087959518E-2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1.788314509124006E-2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1.788314509124006E-2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1.788314509124006E-2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1.788314509124006E-2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1.788314509124006E-2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1.788314509124006E-2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1.788314509124006E-2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1.788314509124006E-2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1.788314509124006E-2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1.788314509124006E-2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1.788314509124006E-2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1.788314509124006E-2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1.788314509124006E-2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1.788314509124006E-2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1.788314509124006E-2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1.788314509124006E-2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1.788314509124006E-2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1.788314509124006E-2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1.788314509124006E-2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1.788314509124006E-2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1.788314509124006E-2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1.788314509124006E-2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1.788314509124006E-2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1.788314509124006E-2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1.788314509124006E-2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1.788314509124006E-2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1.788314509124006E-2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2.73225267151514E-2</v>
      </c>
      <c r="C8" s="7">
        <f>$B8 * IFERROR(VLOOKUP("electricity|PM25|Asthma symptoms wheeze", US_national_yearly!$D:$AM, 11, FALSE) / VLOOKUP("electricity|PM25|Asthma symptoms wheeze", US_national_yearly!$D:$AM, 10, FALSE), 1)</f>
        <v>2.73225267151514E-2</v>
      </c>
      <c r="D8" s="7">
        <f>$B8 * IFERROR(VLOOKUP("electricity|PM25|Asthma symptoms wheeze", US_national_yearly!$D:$AM, 12, FALSE) / VLOOKUP("electricity|PM25|Asthma symptoms wheeze", US_national_yearly!$D:$AM, 10, FALSE), 1)</f>
        <v>2.73225267151514E-2</v>
      </c>
      <c r="E8" s="7">
        <f>$B8 * IFERROR(VLOOKUP("electricity|PM25|Asthma symptoms wheeze", US_national_yearly!$D:$AM, 13, FALSE) / VLOOKUP("electricity|PM25|Asthma symptoms wheeze", US_national_yearly!$D:$AM, 10, FALSE), 1)</f>
        <v>2.73225267151514E-2</v>
      </c>
      <c r="F8" s="7">
        <f>$B8 * IFERROR(VLOOKUP("electricity|PM25|Asthma symptoms wheeze", US_national_yearly!$D:$AM, 14, FALSE) / VLOOKUP("electricity|PM25|Asthma symptoms wheeze", US_national_yearly!$D:$AM, 10, FALSE), 1)</f>
        <v>2.73225267151514E-2</v>
      </c>
      <c r="G8" s="7">
        <f>$B8 * IFERROR(VLOOKUP("electricity|PM25|Asthma symptoms wheeze", US_national_yearly!$D:$AM, 15, FALSE) / VLOOKUP("electricity|PM25|Asthma symptoms wheeze", US_national_yearly!$D:$AM, 10, FALSE), 1)</f>
        <v>2.73225267151514E-2</v>
      </c>
      <c r="H8" s="7">
        <f>$B8 * IFERROR(VLOOKUP("electricity|PM25|Asthma symptoms wheeze", US_national_yearly!$D:$AM, 16, FALSE) / VLOOKUP("electricity|PM25|Asthma symptoms wheeze", US_national_yearly!$D:$AM, 10, FALSE), 1)</f>
        <v>2.73225267151514E-2</v>
      </c>
      <c r="I8" s="7">
        <f>$B8 * IFERROR(VLOOKUP("electricity|PM25|Asthma symptoms wheeze", US_national_yearly!$D:$AM, 17, FALSE) / VLOOKUP("electricity|PM25|Asthma symptoms wheeze", US_national_yearly!$D:$AM, 10, FALSE), 1)</f>
        <v>2.73225267151514E-2</v>
      </c>
      <c r="J8" s="7">
        <f>$B8 * IFERROR(VLOOKUP("electricity|PM25|Asthma symptoms wheeze", US_national_yearly!$D:$AM, 18, FALSE) / VLOOKUP("electricity|PM25|Asthma symptoms wheeze", US_national_yearly!$D:$AM, 10, FALSE), 1)</f>
        <v>2.73225267151514E-2</v>
      </c>
      <c r="K8" s="7">
        <f>$B8 * IFERROR(VLOOKUP("electricity|PM25|Asthma symptoms wheeze", US_national_yearly!$D:$AM, 19, FALSE) / VLOOKUP("electricity|PM25|Asthma symptoms wheeze", US_national_yearly!$D:$AM, 10, FALSE), 1)</f>
        <v>2.73225267151514E-2</v>
      </c>
      <c r="L8" s="7">
        <f>$B8 * IFERROR(VLOOKUP("electricity|PM25|Asthma symptoms wheeze", US_national_yearly!$D:$AM, 20, FALSE) / VLOOKUP("electricity|PM25|Asthma symptoms wheeze", US_national_yearly!$D:$AM, 10, FALSE), 1)</f>
        <v>2.73225267151514E-2</v>
      </c>
      <c r="M8" s="7">
        <f>$B8 * IFERROR(VLOOKUP("electricity|PM25|Asthma symptoms wheeze", US_national_yearly!$D:$AM, 21, FALSE) / VLOOKUP("electricity|PM25|Asthma symptoms wheeze", US_national_yearly!$D:$AM, 10, FALSE), 1)</f>
        <v>2.73225267151514E-2</v>
      </c>
      <c r="N8" s="7">
        <f>$B8 * IFERROR(VLOOKUP("electricity|PM25|Asthma symptoms wheeze", US_national_yearly!$D:$AM, 22, FALSE) / VLOOKUP("electricity|PM25|Asthma symptoms wheeze", US_national_yearly!$D:$AM, 10, FALSE), 1)</f>
        <v>2.73225267151514E-2</v>
      </c>
      <c r="O8" s="7">
        <f>$B8 * IFERROR(VLOOKUP("electricity|PM25|Asthma symptoms wheeze", US_national_yearly!$D:$AM, 23, FALSE) / VLOOKUP("electricity|PM25|Asthma symptoms wheeze", US_national_yearly!$D:$AM, 10, FALSE), 1)</f>
        <v>2.73225267151514E-2</v>
      </c>
      <c r="P8" s="7">
        <f>$B8 * IFERROR(VLOOKUP("electricity|PM25|Asthma symptoms wheeze", US_national_yearly!$D:$AM, 24, FALSE) / VLOOKUP("electricity|PM25|Asthma symptoms wheeze", US_national_yearly!$D:$AM, 10, FALSE), 1)</f>
        <v>2.73225267151514E-2</v>
      </c>
      <c r="Q8" s="7">
        <f>$B8 * IFERROR(VLOOKUP("electricity|PM25|Asthma symptoms wheeze", US_national_yearly!$D:$AM, 25, FALSE) / VLOOKUP("electricity|PM25|Asthma symptoms wheeze", US_national_yearly!$D:$AM, 10, FALSE), 1)</f>
        <v>2.73225267151514E-2</v>
      </c>
      <c r="R8" s="7">
        <f>$B8 * IFERROR(VLOOKUP("electricity|PM25|Asthma symptoms wheeze", US_national_yearly!$D:$AM, 26, FALSE) / VLOOKUP("electricity|PM25|Asthma symptoms wheeze", US_national_yearly!$D:$AM, 10, FALSE), 1)</f>
        <v>2.73225267151514E-2</v>
      </c>
      <c r="S8" s="7">
        <f>$B8 * IFERROR(VLOOKUP("electricity|PM25|Asthma symptoms wheeze", US_national_yearly!$D:$AM, 27, FALSE) / VLOOKUP("electricity|PM25|Asthma symptoms wheeze", US_national_yearly!$D:$AM, 10, FALSE), 1)</f>
        <v>2.73225267151514E-2</v>
      </c>
      <c r="T8" s="7">
        <f>$B8 * IFERROR(VLOOKUP("electricity|PM25|Asthma symptoms wheeze", US_national_yearly!$D:$AM, 28, FALSE) / VLOOKUP("electricity|PM25|Asthma symptoms wheeze", US_national_yearly!$D:$AM, 10, FALSE), 1)</f>
        <v>2.73225267151514E-2</v>
      </c>
      <c r="U8" s="7">
        <f>$B8 * IFERROR(VLOOKUP("electricity|PM25|Asthma symptoms wheeze", US_national_yearly!$D:$AM, 29, FALSE) / VLOOKUP("electricity|PM25|Asthma symptoms wheeze", US_national_yearly!$D:$AM, 10, FALSE), 1)</f>
        <v>2.73225267151514E-2</v>
      </c>
      <c r="V8" s="7">
        <f>$B8 * IFERROR(VLOOKUP("electricity|PM25|Asthma symptoms wheeze", US_national_yearly!$D:$AM, 30, FALSE) / VLOOKUP("electricity|PM25|Asthma symptoms wheeze", US_national_yearly!$D:$AM, 10, FALSE), 1)</f>
        <v>2.73225267151514E-2</v>
      </c>
      <c r="W8" s="7">
        <f>$B8 * IFERROR(VLOOKUP("electricity|PM25|Asthma symptoms wheeze", US_national_yearly!$D:$AM, 31, FALSE) / VLOOKUP("electricity|PM25|Asthma symptoms wheeze", US_national_yearly!$D:$AM, 10, FALSE), 1)</f>
        <v>2.73225267151514E-2</v>
      </c>
      <c r="X8" s="7">
        <f>$B8 * IFERROR(VLOOKUP("electricity|PM25|Asthma symptoms wheeze", US_national_yearly!$D:$AM, 32, FALSE) / VLOOKUP("electricity|PM25|Asthma symptoms wheeze", US_national_yearly!$D:$AM, 10, FALSE), 1)</f>
        <v>2.73225267151514E-2</v>
      </c>
      <c r="Y8" s="7">
        <f>$B8 * IFERROR(VLOOKUP("electricity|PM25|Asthma symptoms wheeze", US_national_yearly!$D:$AM, 33, FALSE) / VLOOKUP("electricity|PM25|Asthma symptoms wheeze", US_national_yearly!$D:$AM, 10, FALSE), 1)</f>
        <v>2.73225267151514E-2</v>
      </c>
      <c r="Z8" s="7">
        <f>$B8 * IFERROR(VLOOKUP("electricity|PM25|Asthma symptoms wheeze", US_national_yearly!$D:$AM, 34, FALSE) / VLOOKUP("electricity|PM25|Asthma symptoms wheeze", US_national_yearly!$D:$AM, 10, FALSE), 1)</f>
        <v>2.73225267151514E-2</v>
      </c>
      <c r="AA8" s="7">
        <f>$B8 * IFERROR(VLOOKUP("electricity|PM25|Asthma symptoms wheeze", US_national_yearly!$D:$AM, 35, FALSE) / VLOOKUP("electricity|PM25|Asthma symptoms wheeze", US_national_yearly!$D:$AM, 10, FALSE), 1)</f>
        <v>2.73225267151514E-2</v>
      </c>
      <c r="AB8" s="7">
        <f>$B8 * IFERROR(VLOOKUP("electricity|PM25|Asthma symptoms wheeze", US_national_yearly!$D:$AM, 36, FALSE) / VLOOKUP("electricity|PM25|Asthma symptoms wheeze", US_national_yearly!$D:$AM, 10, FALSE), 1)</f>
        <v>2.73225267151514E-2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1.4972591501071216E-4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1.5054879041174652E-4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1.5137166581278086E-4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1.5219454121381527E-4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1.5301741661484961E-4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1.5389951881788846E-4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1.5478162102092733E-4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1.5556968922473345E-4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1.5635775742853957E-4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1.5714582563234567E-4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1.5793389383615179E-4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1.5872196203995791E-4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1.5925354202719891E-4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1.5978512201443994E-4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1.6031670200168099E-4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1.6084828198892199E-4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1.6137986197616301E-4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1.6187522018182982E-4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1.6237057838749654E-4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1.6286593659316332E-4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1.6336129479883009E-4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1.6385665300449681E-4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1.6434646793611331E-4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1.6483628286772975E-4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1.6532609779934621E-4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1.6581591273096265E-4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1.6630572766257915E-4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9.7757050530758861E-4</v>
      </c>
      <c r="C13" s="7">
        <f>$B13 * IFERROR(VLOOKUP("electricity|PM25|Non-fatal heart attacks", US_national_yearly!$D:$AM, 11, FALSE) / VLOOKUP("electricity|PM25|Non-fatal heart attacks", US_national_yearly!$D:$AM, 10, FALSE), 1)</f>
        <v>1.0058856608126901E-3</v>
      </c>
      <c r="D13" s="7">
        <f>$B13 * IFERROR(VLOOKUP("electricity|PM25|Non-fatal heart attacks", US_national_yearly!$D:$AM, 12, FALSE) / VLOOKUP("electricity|PM25|Non-fatal heart attacks", US_national_yearly!$D:$AM, 10, FALSE), 1)</f>
        <v>1.0342008163177919E-3</v>
      </c>
      <c r="E13" s="7">
        <f>$B13 * IFERROR(VLOOKUP("electricity|PM25|Non-fatal heart attacks", US_national_yearly!$D:$AM, 13, FALSE) / VLOOKUP("electricity|PM25|Non-fatal heart attacks", US_national_yearly!$D:$AM, 10, FALSE), 1)</f>
        <v>1.0625159718228932E-3</v>
      </c>
      <c r="F13" s="7">
        <f>$B13 * IFERROR(VLOOKUP("electricity|PM25|Non-fatal heart attacks", US_national_yearly!$D:$AM, 14, FALSE) / VLOOKUP("electricity|PM25|Non-fatal heart attacks", US_national_yearly!$D:$AM, 10, FALSE), 1)</f>
        <v>1.0908311273279947E-3</v>
      </c>
      <c r="G13" s="7">
        <f>$B13 * IFERROR(VLOOKUP("electricity|PM25|Non-fatal heart attacks", US_national_yearly!$D:$AM, 15, FALSE) / VLOOKUP("electricity|PM25|Non-fatal heart attacks", US_national_yearly!$D:$AM, 10, FALSE), 1)</f>
        <v>1.1177069384151132E-3</v>
      </c>
      <c r="H13" s="7">
        <f>$B13 * IFERROR(VLOOKUP("electricity|PM25|Non-fatal heart attacks", US_national_yearly!$D:$AM, 16, FALSE) / VLOOKUP("electricity|PM25|Non-fatal heart attacks", US_national_yearly!$D:$AM, 10, FALSE), 1)</f>
        <v>1.1445827495022314E-3</v>
      </c>
      <c r="I13" s="7">
        <f>$B13 * IFERROR(VLOOKUP("electricity|PM25|Non-fatal heart attacks", US_national_yearly!$D:$AM, 17, FALSE) / VLOOKUP("electricity|PM25|Non-fatal heart attacks", US_national_yearly!$D:$AM, 10, FALSE), 1)</f>
        <v>1.166510238509558E-3</v>
      </c>
      <c r="J13" s="7">
        <f>$B13 * IFERROR(VLOOKUP("electricity|PM25|Non-fatal heart attacks", US_national_yearly!$D:$AM, 18, FALSE) / VLOOKUP("electricity|PM25|Non-fatal heart attacks", US_national_yearly!$D:$AM, 10, FALSE), 1)</f>
        <v>1.1884377275168847E-3</v>
      </c>
      <c r="K13" s="7">
        <f>$B13 * IFERROR(VLOOKUP("electricity|PM25|Non-fatal heart attacks", US_national_yearly!$D:$AM, 19, FALSE) / VLOOKUP("electricity|PM25|Non-fatal heart attacks", US_national_yearly!$D:$AM, 10, FALSE), 1)</f>
        <v>1.2103652165242112E-3</v>
      </c>
      <c r="L13" s="7">
        <f>$B13 * IFERROR(VLOOKUP("electricity|PM25|Non-fatal heart attacks", US_national_yearly!$D:$AM, 20, FALSE) / VLOOKUP("electricity|PM25|Non-fatal heart attacks", US_national_yearly!$D:$AM, 10, FALSE), 1)</f>
        <v>1.2322927055315376E-3</v>
      </c>
      <c r="M13" s="7">
        <f>$B13 * IFERROR(VLOOKUP("electricity|PM25|Non-fatal heart attacks", US_national_yearly!$D:$AM, 21, FALSE) / VLOOKUP("electricity|PM25|Non-fatal heart attacks", US_national_yearly!$D:$AM, 10, FALSE), 1)</f>
        <v>1.2542201945388645E-3</v>
      </c>
      <c r="N13" s="7">
        <f>$B13 * IFERROR(VLOOKUP("electricity|PM25|Non-fatal heart attacks", US_national_yearly!$D:$AM, 22, FALSE) / VLOOKUP("electricity|PM25|Non-fatal heart attacks", US_national_yearly!$D:$AM, 10, FALSE), 1)</f>
        <v>1.268448304222925E-3</v>
      </c>
      <c r="O13" s="7">
        <f>$B13 * IFERROR(VLOOKUP("electricity|PM25|Non-fatal heart attacks", US_national_yearly!$D:$AM, 23, FALSE) / VLOOKUP("electricity|PM25|Non-fatal heart attacks", US_national_yearly!$D:$AM, 10, FALSE), 1)</f>
        <v>1.2826764139069855E-3</v>
      </c>
      <c r="P13" s="7">
        <f>$B13 * IFERROR(VLOOKUP("electricity|PM25|Non-fatal heart attacks", US_national_yearly!$D:$AM, 24, FALSE) / VLOOKUP("electricity|PM25|Non-fatal heart attacks", US_national_yearly!$D:$AM, 10, FALSE), 1)</f>
        <v>1.2969045235910457E-3</v>
      </c>
      <c r="Q13" s="7">
        <f>$B13 * IFERROR(VLOOKUP("electricity|PM25|Non-fatal heart attacks", US_national_yearly!$D:$AM, 25, FALSE) / VLOOKUP("electricity|PM25|Non-fatal heart attacks", US_national_yearly!$D:$AM, 10, FALSE), 1)</f>
        <v>1.3111326332751062E-3</v>
      </c>
      <c r="R13" s="7">
        <f>$B13 * IFERROR(VLOOKUP("electricity|PM25|Non-fatal heart attacks", US_national_yearly!$D:$AM, 26, FALSE) / VLOOKUP("electricity|PM25|Non-fatal heart attacks", US_national_yearly!$D:$AM, 10, FALSE), 1)</f>
        <v>1.3253607429591669E-3</v>
      </c>
      <c r="S13" s="7">
        <f>$B13 * IFERROR(VLOOKUP("electricity|PM25|Non-fatal heart attacks", US_national_yearly!$D:$AM, 27, FALSE) / VLOOKUP("electricity|PM25|Non-fatal heart attacks", US_national_yearly!$D:$AM, 10, FALSE), 1)</f>
        <v>1.3331936828632372E-3</v>
      </c>
      <c r="T13" s="7">
        <f>$B13 * IFERROR(VLOOKUP("electricity|PM25|Non-fatal heart attacks", US_national_yearly!$D:$AM, 28, FALSE) / VLOOKUP("electricity|PM25|Non-fatal heart attacks", US_national_yearly!$D:$AM, 10, FALSE), 1)</f>
        <v>1.3410266227673079E-3</v>
      </c>
      <c r="U13" s="7">
        <f>$B13 * IFERROR(VLOOKUP("electricity|PM25|Non-fatal heart attacks", US_national_yearly!$D:$AM, 29, FALSE) / VLOOKUP("electricity|PM25|Non-fatal heart attacks", US_national_yearly!$D:$AM, 10, FALSE), 1)</f>
        <v>1.3488595626713785E-3</v>
      </c>
      <c r="V13" s="7">
        <f>$B13 * IFERROR(VLOOKUP("electricity|PM25|Non-fatal heart attacks", US_national_yearly!$D:$AM, 30, FALSE) / VLOOKUP("electricity|PM25|Non-fatal heart attacks", US_national_yearly!$D:$AM, 10, FALSE), 1)</f>
        <v>1.356692502575449E-3</v>
      </c>
      <c r="W13" s="7">
        <f>$B13 * IFERROR(VLOOKUP("electricity|PM25|Non-fatal heart attacks", US_national_yearly!$D:$AM, 31, FALSE) / VLOOKUP("electricity|PM25|Non-fatal heart attacks", US_national_yearly!$D:$AM, 10, FALSE), 1)</f>
        <v>1.3645254424795197E-3</v>
      </c>
      <c r="X13" s="7">
        <f>$B13 * IFERROR(VLOOKUP("electricity|PM25|Non-fatal heart attacks", US_national_yearly!$D:$AM, 32, FALSE) / VLOOKUP("electricity|PM25|Non-fatal heart attacks", US_national_yearly!$D:$AM, 10, FALSE), 1)</f>
        <v>1.3706532750139449E-3</v>
      </c>
      <c r="Y13" s="7">
        <f>$B13 * IFERROR(VLOOKUP("electricity|PM25|Non-fatal heart attacks", US_national_yearly!$D:$AM, 33, FALSE) / VLOOKUP("electricity|PM25|Non-fatal heart attacks", US_national_yearly!$D:$AM, 10, FALSE), 1)</f>
        <v>1.3767811075483703E-3</v>
      </c>
      <c r="Z13" s="7">
        <f>$B13 * IFERROR(VLOOKUP("electricity|PM25|Non-fatal heart attacks", US_national_yearly!$D:$AM, 34, FALSE) / VLOOKUP("electricity|PM25|Non-fatal heart attacks", US_national_yearly!$D:$AM, 10, FALSE), 1)</f>
        <v>1.3829089400827954E-3</v>
      </c>
      <c r="AA13" s="7">
        <f>$B13 * IFERROR(VLOOKUP("electricity|PM25|Non-fatal heart attacks", US_national_yearly!$D:$AM, 35, FALSE) / VLOOKUP("electricity|PM25|Non-fatal heart attacks", US_national_yearly!$D:$AM, 10, FALSE), 1)</f>
        <v>1.3890367726172208E-3</v>
      </c>
      <c r="AB13" s="7">
        <f>$B13 * IFERROR(VLOOKUP("electricity|PM25|Non-fatal heart attacks", US_national_yearly!$D:$AM, 36, FALSE) / VLOOKUP("electricity|PM25|Non-fatal heart attacks", US_national_yearly!$D:$AM, 10, FALSE), 1)</f>
        <v>1.395164605151646E-3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1.2274786007112879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1.2302035206966975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1.2329284406821073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1.2356533606675171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1.2383782806529269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1.2424217461643161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1.2464652116757053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1.2536048707212386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1.2607445297667721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1.2678841888123051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1.2750238478578388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1.2821635069033719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1.2920682731052018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1.3019730393070319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1.311877805508862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1.3217825717106921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1.3316873379125218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1.3416775377451546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1.351667737577787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1.3616579374104194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1.3716481372430522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1.3816383370756846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1.3902020235868304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1.3987657100979765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1.4073293966091225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1.4158930831202678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1.4244567696314141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0.2102939814690491</v>
      </c>
      <c r="C15" s="7">
        <f>$B15 * IFERROR(VLOOKUP("electricity|PM25|Work loss days", US_national_yearly!$D:$AM, 11, FALSE) / VLOOKUP("electricity|PM25|Work loss days", US_national_yearly!$D:$AM, 10, FALSE), 1)</f>
        <v>0.21089574985304083</v>
      </c>
      <c r="D15" s="7">
        <f>$B15 * IFERROR(VLOOKUP("electricity|PM25|Work loss days", US_national_yearly!$D:$AM, 12, FALSE) / VLOOKUP("electricity|PM25|Work loss days", US_national_yearly!$D:$AM, 10, FALSE), 1)</f>
        <v>0.21149751823703261</v>
      </c>
      <c r="E15" s="7">
        <f>$B15 * IFERROR(VLOOKUP("electricity|PM25|Work loss days", US_national_yearly!$D:$AM, 13, FALSE) / VLOOKUP("electricity|PM25|Work loss days", US_national_yearly!$D:$AM, 10, FALSE), 1)</f>
        <v>0.21209928662102434</v>
      </c>
      <c r="F15" s="7">
        <f>$B15 * IFERROR(VLOOKUP("electricity|PM25|Work loss days", US_national_yearly!$D:$AM, 14, FALSE) / VLOOKUP("electricity|PM25|Work loss days", US_national_yearly!$D:$AM, 10, FALSE), 1)</f>
        <v>0.21270105500501607</v>
      </c>
      <c r="G15" s="7">
        <f>$B15 * IFERROR(VLOOKUP("electricity|PM25|Work loss days", US_national_yearly!$D:$AM, 15, FALSE) / VLOOKUP("electricity|PM25|Work loss days", US_national_yearly!$D:$AM, 10, FALSE), 1)</f>
        <v>0.21348061505479007</v>
      </c>
      <c r="H15" s="7">
        <f>$B15 * IFERROR(VLOOKUP("electricity|PM25|Work loss days", US_national_yearly!$D:$AM, 16, FALSE) / VLOOKUP("electricity|PM25|Work loss days", US_national_yearly!$D:$AM, 10, FALSE), 1)</f>
        <v>0.21426017510456408</v>
      </c>
      <c r="I15" s="7">
        <f>$B15 * IFERROR(VLOOKUP("electricity|PM25|Work loss days", US_national_yearly!$D:$AM, 17, FALSE) / VLOOKUP("electricity|PM25|Work loss days", US_national_yearly!$D:$AM, 10, FALSE), 1)</f>
        <v>0.21543211052240893</v>
      </c>
      <c r="J15" s="7">
        <f>$B15 * IFERROR(VLOOKUP("electricity|PM25|Work loss days", US_national_yearly!$D:$AM, 18, FALSE) / VLOOKUP("electricity|PM25|Work loss days", US_national_yearly!$D:$AM, 10, FALSE), 1)</f>
        <v>0.21660404594025373</v>
      </c>
      <c r="K15" s="7">
        <f>$B15 * IFERROR(VLOOKUP("electricity|PM25|Work loss days", US_national_yearly!$D:$AM, 19, FALSE) / VLOOKUP("electricity|PM25|Work loss days", US_national_yearly!$D:$AM, 10, FALSE), 1)</f>
        <v>0.21777598135809856</v>
      </c>
      <c r="L15" s="7">
        <f>$B15 * IFERROR(VLOOKUP("electricity|PM25|Work loss days", US_national_yearly!$D:$AM, 20, FALSE) / VLOOKUP("electricity|PM25|Work loss days", US_national_yearly!$D:$AM, 10, FALSE), 1)</f>
        <v>0.21894791677594341</v>
      </c>
      <c r="M15" s="7">
        <f>$B15 * IFERROR(VLOOKUP("electricity|PM25|Work loss days", US_national_yearly!$D:$AM, 21, FALSE) / VLOOKUP("electricity|PM25|Work loss days", US_national_yearly!$D:$AM, 10, FALSE), 1)</f>
        <v>0.22011985219378824</v>
      </c>
      <c r="N15" s="7">
        <f>$B15 * IFERROR(VLOOKUP("electricity|PM25|Work loss days", US_national_yearly!$D:$AM, 22, FALSE) / VLOOKUP("electricity|PM25|Work loss days", US_national_yearly!$D:$AM, 10, FALSE), 1)</f>
        <v>0.22163290217688408</v>
      </c>
      <c r="O15" s="7">
        <f>$B15 * IFERROR(VLOOKUP("electricity|PM25|Work loss days", US_national_yearly!$D:$AM, 23, FALSE) / VLOOKUP("electricity|PM25|Work loss days", US_national_yearly!$D:$AM, 10, FALSE), 1)</f>
        <v>0.2231459521599799</v>
      </c>
      <c r="P15" s="7">
        <f>$B15 * IFERROR(VLOOKUP("electricity|PM25|Work loss days", US_national_yearly!$D:$AM, 24, FALSE) / VLOOKUP("electricity|PM25|Work loss days", US_national_yearly!$D:$AM, 10, FALSE), 1)</f>
        <v>0.22465900214307569</v>
      </c>
      <c r="Q15" s="7">
        <f>$B15 * IFERROR(VLOOKUP("electricity|PM25|Work loss days", US_national_yearly!$D:$AM, 25, FALSE) / VLOOKUP("electricity|PM25|Work loss days", US_national_yearly!$D:$AM, 10, FALSE), 1)</f>
        <v>0.22617205212617147</v>
      </c>
      <c r="R15" s="7">
        <f>$B15 * IFERROR(VLOOKUP("electricity|PM25|Work loss days", US_national_yearly!$D:$AM, 26, FALSE) / VLOOKUP("electricity|PM25|Work loss days", US_national_yearly!$D:$AM, 10, FALSE), 1)</f>
        <v>0.22768510210926732</v>
      </c>
      <c r="S15" s="7">
        <f>$B15 * IFERROR(VLOOKUP("electricity|PM25|Work loss days", US_national_yearly!$D:$AM, 27, FALSE) / VLOOKUP("electricity|PM25|Work loss days", US_national_yearly!$D:$AM, 10, FALSE), 1)</f>
        <v>0.22936405330979218</v>
      </c>
      <c r="T15" s="7">
        <f>$B15 * IFERROR(VLOOKUP("electricity|PM25|Work loss days", US_national_yearly!$D:$AM, 28, FALSE) / VLOOKUP("electricity|PM25|Work loss days", US_national_yearly!$D:$AM, 10, FALSE), 1)</f>
        <v>0.23104300451031709</v>
      </c>
      <c r="U15" s="7">
        <f>$B15 * IFERROR(VLOOKUP("electricity|PM25|Work loss days", US_national_yearly!$D:$AM, 29, FALSE) / VLOOKUP("electricity|PM25|Work loss days", US_national_yearly!$D:$AM, 10, FALSE), 1)</f>
        <v>0.232721955710842</v>
      </c>
      <c r="V15" s="7">
        <f>$B15 * IFERROR(VLOOKUP("electricity|PM25|Work loss days", US_national_yearly!$D:$AM, 30, FALSE) / VLOOKUP("electricity|PM25|Work loss days", US_national_yearly!$D:$AM, 10, FALSE), 1)</f>
        <v>0.23440090691136692</v>
      </c>
      <c r="W15" s="7">
        <f>$B15 * IFERROR(VLOOKUP("electricity|PM25|Work loss days", US_national_yearly!$D:$AM, 31, FALSE) / VLOOKUP("electricity|PM25|Work loss days", US_national_yearly!$D:$AM, 10, FALSE), 1)</f>
        <v>0.23607985811189178</v>
      </c>
      <c r="X15" s="7">
        <f>$B15 * IFERROR(VLOOKUP("electricity|PM25|Work loss days", US_national_yearly!$D:$AM, 32, FALSE) / VLOOKUP("electricity|PM25|Work loss days", US_national_yearly!$D:$AM, 10, FALSE), 1)</f>
        <v>0.23756096856226638</v>
      </c>
      <c r="Y15" s="7">
        <f>$B15 * IFERROR(VLOOKUP("electricity|PM25|Work loss days", US_national_yearly!$D:$AM, 33, FALSE) / VLOOKUP("electricity|PM25|Work loss days", US_national_yearly!$D:$AM, 10, FALSE), 1)</f>
        <v>0.23904207901264091</v>
      </c>
      <c r="Z15" s="7">
        <f>$B15 * IFERROR(VLOOKUP("electricity|PM25|Work loss days", US_national_yearly!$D:$AM, 34, FALSE) / VLOOKUP("electricity|PM25|Work loss days", US_national_yearly!$D:$AM, 10, FALSE), 1)</f>
        <v>0.24052318946301549</v>
      </c>
      <c r="AA15" s="7">
        <f>$B15 * IFERROR(VLOOKUP("electricity|PM25|Work loss days", US_national_yearly!$D:$AM, 35, FALSE) / VLOOKUP("electricity|PM25|Work loss days", US_national_yearly!$D:$AM, 10, FALSE), 1)</f>
        <v>0.24200429991339009</v>
      </c>
      <c r="AB15" s="7">
        <f>$B15 * IFERROR(VLOOKUP("electricity|PM25|Work loss days", US_national_yearly!$D:$AM, 36, FALSE) / VLOOKUP("electricity|PM25|Work loss days", US_national_yearly!$D:$AM, 10, FALSE), 1)</f>
        <v>0.24348541036376464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1.9121303535702235E-4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1.9688726481258763E-4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2.0256149426815291E-4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2.0823572372371819E-4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2.1390995317928347E-4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2.19382738686221E-4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2.2485552419315851E-4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2.2959648595399177E-4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2.3433744771482503E-4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2.390784094756582E-4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2.4381937123649146E-4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2.4856033299732464E-4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2.5174731615908738E-4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2.5493429932085002E-4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2.581212824826127E-4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2.6130826564437539E-4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2.6449524880613803E-4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2.6625414906715511E-4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2.6801304932817208E-4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2.6977194958918916E-4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2.7153084985020618E-4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2.7328975011122321E-4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2.7451685418727965E-4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2.7574395826333609E-4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2.7697106233939259E-4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2.7819816641544908E-4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2.7942527049150558E-4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5.8884249476004044E-5</v>
      </c>
      <c r="C2" s="7">
        <f>$B2 * IFERROR(VLOOKUP("electricity|NOx|Premature mortality", US_national_yearly!$D:$AM, 11, FALSE) / VLOOKUP("electricity|NOx|Premature mortality", US_national_yearly!$D:$AM, 10, FALSE), 1)</f>
        <v>5.977520548596661E-5</v>
      </c>
      <c r="D2" s="7">
        <f>$B2 * IFERROR(VLOOKUP("electricity|NOx|Premature mortality", US_national_yearly!$D:$AM, 12, FALSE) / VLOOKUP("electricity|NOx|Premature mortality", US_national_yearly!$D:$AM, 10, FALSE), 1)</f>
        <v>6.0666161495929183E-5</v>
      </c>
      <c r="E2" s="7">
        <f>$B2 * IFERROR(VLOOKUP("electricity|NOx|Premature mortality", US_national_yearly!$D:$AM, 13, FALSE) / VLOOKUP("electricity|NOx|Premature mortality", US_national_yearly!$D:$AM, 10, FALSE), 1)</f>
        <v>6.1557117505891756E-5</v>
      </c>
      <c r="F2" s="7">
        <f>$B2 * IFERROR(VLOOKUP("electricity|NOx|Premature mortality", US_national_yearly!$D:$AM, 14, FALSE) / VLOOKUP("electricity|NOx|Premature mortality", US_national_yearly!$D:$AM, 10, FALSE), 1)</f>
        <v>6.2448073515854316E-5</v>
      </c>
      <c r="G2" s="7">
        <f>$B2 * IFERROR(VLOOKUP("electricity|NOx|Premature mortality", US_national_yearly!$D:$AM, 15, FALSE) / VLOOKUP("electricity|NOx|Premature mortality", US_national_yearly!$D:$AM, 10, FALSE), 1)</f>
        <v>6.4039649081116073E-5</v>
      </c>
      <c r="H2" s="7">
        <f>$B2 * IFERROR(VLOOKUP("electricity|NOx|Premature mortality", US_national_yearly!$D:$AM, 16, FALSE) / VLOOKUP("electricity|NOx|Premature mortality", US_national_yearly!$D:$AM, 10, FALSE), 1)</f>
        <v>6.5631224646377803E-5</v>
      </c>
      <c r="I2" s="7">
        <f>$B2 * IFERROR(VLOOKUP("electricity|NOx|Premature mortality", US_national_yearly!$D:$AM, 17, FALSE) / VLOOKUP("electricity|NOx|Premature mortality", US_national_yearly!$D:$AM, 10, FALSE), 1)</f>
        <v>6.6688891983146114E-5</v>
      </c>
      <c r="J2" s="7">
        <f>$B2 * IFERROR(VLOOKUP("electricity|NOx|Premature mortality", US_national_yearly!$D:$AM, 18, FALSE) / VLOOKUP("electricity|NOx|Premature mortality", US_national_yearly!$D:$AM, 10, FALSE), 1)</f>
        <v>6.7746559319914438E-5</v>
      </c>
      <c r="K2" s="7">
        <f>$B2 * IFERROR(VLOOKUP("electricity|NOx|Premature mortality", US_national_yearly!$D:$AM, 19, FALSE) / VLOOKUP("electricity|NOx|Premature mortality", US_national_yearly!$D:$AM, 10, FALSE), 1)</f>
        <v>6.8804226656682749E-5</v>
      </c>
      <c r="L2" s="7">
        <f>$B2 * IFERROR(VLOOKUP("electricity|NOx|Premature mortality", US_national_yearly!$D:$AM, 20, FALSE) / VLOOKUP("electricity|NOx|Premature mortality", US_national_yearly!$D:$AM, 10, FALSE), 1)</f>
        <v>6.9861893993451073E-5</v>
      </c>
      <c r="M2" s="7">
        <f>$B2 * IFERROR(VLOOKUP("electricity|NOx|Premature mortality", US_national_yearly!$D:$AM, 21, FALSE) / VLOOKUP("electricity|NOx|Premature mortality", US_national_yearly!$D:$AM, 10, FALSE), 1)</f>
        <v>7.0919561330219384E-5</v>
      </c>
      <c r="N2" s="7">
        <f>$B2 * IFERROR(VLOOKUP("electricity|NOx|Premature mortality", US_national_yearly!$D:$AM, 22, FALSE) / VLOOKUP("electricity|NOx|Premature mortality", US_national_yearly!$D:$AM, 10, FALSE), 1)</f>
        <v>7.1735673952047968E-5</v>
      </c>
      <c r="O2" s="7">
        <f>$B2 * IFERROR(VLOOKUP("electricity|NOx|Premature mortality", US_national_yearly!$D:$AM, 23, FALSE) / VLOOKUP("electricity|NOx|Premature mortality", US_national_yearly!$D:$AM, 10, FALSE), 1)</f>
        <v>7.2551786573876593E-5</v>
      </c>
      <c r="P2" s="7">
        <f>$B2 * IFERROR(VLOOKUP("electricity|NOx|Premature mortality", US_national_yearly!$D:$AM, 24, FALSE) / VLOOKUP("electricity|NOx|Premature mortality", US_national_yearly!$D:$AM, 10, FALSE), 1)</f>
        <v>7.3367899195705177E-5</v>
      </c>
      <c r="Q2" s="7">
        <f>$B2 * IFERROR(VLOOKUP("electricity|NOx|Premature mortality", US_national_yearly!$D:$AM, 25, FALSE) / VLOOKUP("electricity|NOx|Premature mortality", US_national_yearly!$D:$AM, 10, FALSE), 1)</f>
        <v>7.4184011817533775E-5</v>
      </c>
      <c r="R2" s="7">
        <f>$B2 * IFERROR(VLOOKUP("electricity|NOx|Premature mortality", US_national_yearly!$D:$AM, 26, FALSE) / VLOOKUP("electricity|NOx|Premature mortality", US_national_yearly!$D:$AM, 10, FALSE), 1)</f>
        <v>7.5000124439362372E-5</v>
      </c>
      <c r="S2" s="7">
        <f>$B2 * IFERROR(VLOOKUP("electricity|NOx|Premature mortality", US_national_yearly!$D:$AM, 27, FALSE) / VLOOKUP("electricity|NOx|Premature mortality", US_national_yearly!$D:$AM, 10, FALSE), 1)</f>
        <v>7.5421844002272322E-5</v>
      </c>
      <c r="T2" s="7">
        <f>$B2 * IFERROR(VLOOKUP("electricity|NOx|Premature mortality", US_national_yearly!$D:$AM, 28, FALSE) / VLOOKUP("electricity|NOx|Premature mortality", US_national_yearly!$D:$AM, 10, FALSE), 1)</f>
        <v>7.5843563565182286E-5</v>
      </c>
      <c r="U2" s="7">
        <f>$B2 * IFERROR(VLOOKUP("electricity|NOx|Premature mortality", US_national_yearly!$D:$AM, 29, FALSE) / VLOOKUP("electricity|NOx|Premature mortality", US_national_yearly!$D:$AM, 10, FALSE), 1)</f>
        <v>7.6265283128092263E-5</v>
      </c>
      <c r="V2" s="7">
        <f>$B2 * IFERROR(VLOOKUP("electricity|NOx|Premature mortality", US_national_yearly!$D:$AM, 30, FALSE) / VLOOKUP("electricity|NOx|Premature mortality", US_national_yearly!$D:$AM, 10, FALSE), 1)</f>
        <v>7.6687002691002226E-5</v>
      </c>
      <c r="W2" s="7">
        <f>$B2 * IFERROR(VLOOKUP("electricity|NOx|Premature mortality", US_national_yearly!$D:$AM, 31, FALSE) / VLOOKUP("electricity|NOx|Premature mortality", US_national_yearly!$D:$AM, 10, FALSE), 1)</f>
        <v>7.7108722253912176E-5</v>
      </c>
      <c r="X2" s="7">
        <f>$B2 * IFERROR(VLOOKUP("electricity|NOx|Premature mortality", US_national_yearly!$D:$AM, 32, FALSE) / VLOOKUP("electricity|NOx|Premature mortality", US_national_yearly!$D:$AM, 10, FALSE), 1)</f>
        <v>7.7204128320291067E-5</v>
      </c>
      <c r="Y2" s="7">
        <f>$B2 * IFERROR(VLOOKUP("electricity|NOx|Premature mortality", US_national_yearly!$D:$AM, 33, FALSE) / VLOOKUP("electricity|NOx|Premature mortality", US_national_yearly!$D:$AM, 10, FALSE), 1)</f>
        <v>7.7299534386669958E-5</v>
      </c>
      <c r="Z2" s="7">
        <f>$B2 * IFERROR(VLOOKUP("electricity|NOx|Premature mortality", US_national_yearly!$D:$AM, 34, FALSE) / VLOOKUP("electricity|NOx|Premature mortality", US_national_yearly!$D:$AM, 10, FALSE), 1)</f>
        <v>7.7394940453048849E-5</v>
      </c>
      <c r="AA2" s="7">
        <f>$B2 * IFERROR(VLOOKUP("electricity|NOx|Premature mortality", US_national_yearly!$D:$AM, 35, FALSE) / VLOOKUP("electricity|NOx|Premature mortality", US_national_yearly!$D:$AM, 10, FALSE), 1)</f>
        <v>7.7490346519427727E-5</v>
      </c>
      <c r="AB2" s="7">
        <f>$B2 * IFERROR(VLOOKUP("electricity|NOx|Premature mortality", US_national_yearly!$D:$AM, 36, FALSE) / VLOOKUP("electricity|NOx|Premature mortality", US_national_yearly!$D:$AM, 10, FALSE), 1)</f>
        <v>7.7585752585806604E-5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2.8828585934631287E-7</v>
      </c>
      <c r="C3" s="7">
        <f>$B3 * IFERROR(VLOOKUP("electricity|NOx|Infant mortality", US_national_yearly!$D:$AM, 11, FALSE) / VLOOKUP("electricity|NOx|Infant mortality", US_national_yearly!$D:$AM, 10, FALSE), 1)</f>
        <v>2.8558878041956869E-7</v>
      </c>
      <c r="D3" s="7">
        <f>$B3 * IFERROR(VLOOKUP("electricity|NOx|Infant mortality", US_national_yearly!$D:$AM, 12, FALSE) / VLOOKUP("electricity|NOx|Infant mortality", US_national_yearly!$D:$AM, 10, FALSE), 1)</f>
        <v>2.8289170149282446E-7</v>
      </c>
      <c r="E3" s="7">
        <f>$B3 * IFERROR(VLOOKUP("electricity|NOx|Infant mortality", US_national_yearly!$D:$AM, 13, FALSE) / VLOOKUP("electricity|NOx|Infant mortality", US_national_yearly!$D:$AM, 10, FALSE), 1)</f>
        <v>2.8019462256608028E-7</v>
      </c>
      <c r="F3" s="7">
        <f>$B3 * IFERROR(VLOOKUP("electricity|NOx|Infant mortality", US_national_yearly!$D:$AM, 14, FALSE) / VLOOKUP("electricity|NOx|Infant mortality", US_national_yearly!$D:$AM, 10, FALSE), 1)</f>
        <v>2.7749754363933605E-7</v>
      </c>
      <c r="G3" s="7">
        <f>$B3 * IFERROR(VLOOKUP("electricity|NOx|Infant mortality", US_national_yearly!$D:$AM, 15, FALSE) / VLOOKUP("electricity|NOx|Infant mortality", US_national_yearly!$D:$AM, 10, FALSE), 1)</f>
        <v>1.838558708924232E-7</v>
      </c>
      <c r="H3" s="7">
        <f>$B3 * IFERROR(VLOOKUP("electricity|NOx|Infant mortality", US_national_yearly!$D:$AM, 16, FALSE) / VLOOKUP("electricity|NOx|Infant mortality", US_national_yearly!$D:$AM, 10, FALSE), 1)</f>
        <v>9.0214198145510341E-8</v>
      </c>
      <c r="I3" s="7">
        <f>$B3 * IFERROR(VLOOKUP("electricity|NOx|Infant mortality", US_national_yearly!$D:$AM, 17, FALSE) / VLOOKUP("electricity|NOx|Infant mortality", US_national_yearly!$D:$AM, 10, FALSE), 1)</f>
        <v>8.9558111198308842E-8</v>
      </c>
      <c r="J3" s="7">
        <f>$B3 * IFERROR(VLOOKUP("electricity|NOx|Infant mortality", US_national_yearly!$D:$AM, 18, FALSE) / VLOOKUP("electricity|NOx|Infant mortality", US_national_yearly!$D:$AM, 10, FALSE), 1)</f>
        <v>8.8902024251107343E-8</v>
      </c>
      <c r="K3" s="7">
        <f>$B3 * IFERROR(VLOOKUP("electricity|NOx|Infant mortality", US_national_yearly!$D:$AM, 19, FALSE) / VLOOKUP("electricity|NOx|Infant mortality", US_national_yearly!$D:$AM, 10, FALSE), 1)</f>
        <v>8.8245937303905831E-8</v>
      </c>
      <c r="L3" s="7">
        <f>$B3 * IFERROR(VLOOKUP("electricity|NOx|Infant mortality", US_national_yearly!$D:$AM, 20, FALSE) / VLOOKUP("electricity|NOx|Infant mortality", US_national_yearly!$D:$AM, 10, FALSE), 1)</f>
        <v>8.7589850356704332E-8</v>
      </c>
      <c r="M3" s="7">
        <f>$B3 * IFERROR(VLOOKUP("electricity|NOx|Infant mortality", US_national_yearly!$D:$AM, 21, FALSE) / VLOOKUP("electricity|NOx|Infant mortality", US_national_yearly!$D:$AM, 10, FALSE), 1)</f>
        <v>8.693376340950282E-8</v>
      </c>
      <c r="N3" s="7">
        <f>$B3 * IFERROR(VLOOKUP("electricity|NOx|Infant mortality", US_national_yearly!$D:$AM, 22, FALSE) / VLOOKUP("electricity|NOx|Infant mortality", US_national_yearly!$D:$AM, 10, FALSE), 1)</f>
        <v>8.6493196311515757E-8</v>
      </c>
      <c r="O3" s="7">
        <f>$B3 * IFERROR(VLOOKUP("electricity|NOx|Infant mortality", US_national_yearly!$D:$AM, 23, FALSE) / VLOOKUP("electricity|NOx|Infant mortality", US_national_yearly!$D:$AM, 10, FALSE), 1)</f>
        <v>8.6052629213528682E-8</v>
      </c>
      <c r="P3" s="7">
        <f>$B3 * IFERROR(VLOOKUP("electricity|NOx|Infant mortality", US_national_yearly!$D:$AM, 24, FALSE) / VLOOKUP("electricity|NOx|Infant mortality", US_national_yearly!$D:$AM, 10, FALSE), 1)</f>
        <v>8.5612062115541606E-8</v>
      </c>
      <c r="Q3" s="7">
        <f>$B3 * IFERROR(VLOOKUP("electricity|NOx|Infant mortality", US_national_yearly!$D:$AM, 25, FALSE) / VLOOKUP("electricity|NOx|Infant mortality", US_national_yearly!$D:$AM, 10, FALSE), 1)</f>
        <v>8.5171495017554531E-8</v>
      </c>
      <c r="R3" s="7">
        <f>$B3 * IFERROR(VLOOKUP("electricity|NOx|Infant mortality", US_national_yearly!$D:$AM, 26, FALSE) / VLOOKUP("electricity|NOx|Infant mortality", US_national_yearly!$D:$AM, 10, FALSE), 1)</f>
        <v>8.4730927919567468E-8</v>
      </c>
      <c r="S3" s="7">
        <f>$B3 * IFERROR(VLOOKUP("electricity|NOx|Infant mortality", US_national_yearly!$D:$AM, 27, FALSE) / VLOOKUP("electricity|NOx|Infant mortality", US_national_yearly!$D:$AM, 10, FALSE), 1)</f>
        <v>8.4207898051932142E-8</v>
      </c>
      <c r="T3" s="7">
        <f>$B3 * IFERROR(VLOOKUP("electricity|NOx|Infant mortality", US_national_yearly!$D:$AM, 28, FALSE) / VLOOKUP("electricity|NOx|Infant mortality", US_national_yearly!$D:$AM, 10, FALSE), 1)</f>
        <v>8.3684868184296802E-8</v>
      </c>
      <c r="U3" s="7">
        <f>$B3 * IFERROR(VLOOKUP("electricity|NOx|Infant mortality", US_national_yearly!$D:$AM, 29, FALSE) / VLOOKUP("electricity|NOx|Infant mortality", US_national_yearly!$D:$AM, 10, FALSE), 1)</f>
        <v>8.3161838316661476E-8</v>
      </c>
      <c r="V3" s="7">
        <f>$B3 * IFERROR(VLOOKUP("electricity|NOx|Infant mortality", US_national_yearly!$D:$AM, 30, FALSE) / VLOOKUP("electricity|NOx|Infant mortality", US_national_yearly!$D:$AM, 10, FALSE), 1)</f>
        <v>8.2638808449026163E-8</v>
      </c>
      <c r="W3" s="7">
        <f>$B3 * IFERROR(VLOOKUP("electricity|NOx|Infant mortality", US_national_yearly!$D:$AM, 31, FALSE) / VLOOKUP("electricity|NOx|Infant mortality", US_national_yearly!$D:$AM, 10, FALSE), 1)</f>
        <v>8.2115778581390823E-8</v>
      </c>
      <c r="X3" s="7">
        <f>$B3 * IFERROR(VLOOKUP("electricity|NOx|Infant mortality", US_national_yearly!$D:$AM, 32, FALSE) / VLOOKUP("electricity|NOx|Infant mortality", US_national_yearly!$D:$AM, 10, FALSE), 1)</f>
        <v>8.1577228130833473E-8</v>
      </c>
      <c r="Y3" s="7">
        <f>$B3 * IFERROR(VLOOKUP("electricity|NOx|Infant mortality", US_national_yearly!$D:$AM, 33, FALSE) / VLOOKUP("electricity|NOx|Infant mortality", US_national_yearly!$D:$AM, 10, FALSE), 1)</f>
        <v>8.1038677680276123E-8</v>
      </c>
      <c r="Z3" s="7">
        <f>$B3 * IFERROR(VLOOKUP("electricity|NOx|Infant mortality", US_national_yearly!$D:$AM, 34, FALSE) / VLOOKUP("electricity|NOx|Infant mortality", US_national_yearly!$D:$AM, 10, FALSE), 1)</f>
        <v>8.0500127229718773E-8</v>
      </c>
      <c r="AA3" s="7">
        <f>$B3 * IFERROR(VLOOKUP("electricity|NOx|Infant mortality", US_national_yearly!$D:$AM, 35, FALSE) / VLOOKUP("electricity|NOx|Infant mortality", US_national_yearly!$D:$AM, 10, FALSE), 1)</f>
        <v>7.996157677916141E-8</v>
      </c>
      <c r="AB3" s="7">
        <f>$B3 * IFERROR(VLOOKUP("electricity|NOx|Infant mortality", US_national_yearly!$D:$AM, 36, FALSE) / VLOOKUP("electricity|NOx|Infant mortality", US_national_yearly!$D:$AM, 10, FALSE), 1)</f>
        <v>7.9423026328604047E-8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3.1298091386144922E-4</v>
      </c>
      <c r="C6" s="7">
        <f>$B6 * IFERROR(VLOOKUP("electricity|NOx|Asthma symptoms cough", US_national_yearly!$D:$AM, 11, FALSE) / VLOOKUP("electricity|NOx|Asthma symptoms cough", US_national_yearly!$D:$AM, 10, FALSE), 1)</f>
        <v>3.1727774461910355E-4</v>
      </c>
      <c r="D6" s="7">
        <f>$B6 * IFERROR(VLOOKUP("electricity|NOx|Asthma symptoms cough", US_national_yearly!$D:$AM, 12, FALSE) / VLOOKUP("electricity|NOx|Asthma symptoms cough", US_national_yearly!$D:$AM, 10, FALSE), 1)</f>
        <v>3.2157457537675794E-4</v>
      </c>
      <c r="E6" s="7">
        <f>$B6 * IFERROR(VLOOKUP("electricity|NOx|Asthma symptoms cough", US_national_yearly!$D:$AM, 13, FALSE) / VLOOKUP("electricity|NOx|Asthma symptoms cough", US_national_yearly!$D:$AM, 10, FALSE), 1)</f>
        <v>3.2587140613441222E-4</v>
      </c>
      <c r="F6" s="7">
        <f>$B6 * IFERROR(VLOOKUP("electricity|NOx|Asthma symptoms cough", US_national_yearly!$D:$AM, 14, FALSE) / VLOOKUP("electricity|NOx|Asthma symptoms cough", US_national_yearly!$D:$AM, 10, FALSE), 1)</f>
        <v>3.3016823689206655E-4</v>
      </c>
      <c r="G6" s="7">
        <f>$B6 * IFERROR(VLOOKUP("electricity|NOx|Asthma symptoms cough", US_national_yearly!$D:$AM, 15, FALSE) / VLOOKUP("electricity|NOx|Asthma symptoms cough", US_national_yearly!$D:$AM, 10, FALSE), 1)</f>
        <v>3.3366178812563362E-4</v>
      </c>
      <c r="H6" s="7">
        <f>$B6 * IFERROR(VLOOKUP("electricity|NOx|Asthma symptoms cough", US_national_yearly!$D:$AM, 16, FALSE) / VLOOKUP("electricity|NOx|Asthma symptoms cough", US_national_yearly!$D:$AM, 10, FALSE), 1)</f>
        <v>3.3715533935920069E-4</v>
      </c>
      <c r="I6" s="7">
        <f>$B6 * IFERROR(VLOOKUP("electricity|NOx|Asthma symptoms cough", US_national_yearly!$D:$AM, 17, FALSE) / VLOOKUP("electricity|NOx|Asthma symptoms cough", US_national_yearly!$D:$AM, 10, FALSE), 1)</f>
        <v>3.3845402525611184E-4</v>
      </c>
      <c r="J6" s="7">
        <f>$B6 * IFERROR(VLOOKUP("electricity|NOx|Asthma symptoms cough", US_national_yearly!$D:$AM, 18, FALSE) / VLOOKUP("electricity|NOx|Asthma symptoms cough", US_national_yearly!$D:$AM, 10, FALSE), 1)</f>
        <v>3.3975271115302299E-4</v>
      </c>
      <c r="K6" s="7">
        <f>$B6 * IFERROR(VLOOKUP("electricity|NOx|Asthma symptoms cough", US_national_yearly!$D:$AM, 19, FALSE) / VLOOKUP("electricity|NOx|Asthma symptoms cough", US_national_yearly!$D:$AM, 10, FALSE), 1)</f>
        <v>3.410513970499342E-4</v>
      </c>
      <c r="L6" s="7">
        <f>$B6 * IFERROR(VLOOKUP("electricity|NOx|Asthma symptoms cough", US_national_yearly!$D:$AM, 20, FALSE) / VLOOKUP("electricity|NOx|Asthma symptoms cough", US_national_yearly!$D:$AM, 10, FALSE), 1)</f>
        <v>3.4235008294684541E-4</v>
      </c>
      <c r="M6" s="7">
        <f>$B6 * IFERROR(VLOOKUP("electricity|NOx|Asthma symptoms cough", US_national_yearly!$D:$AM, 21, FALSE) / VLOOKUP("electricity|NOx|Asthma symptoms cough", US_national_yearly!$D:$AM, 10, FALSE), 1)</f>
        <v>3.4364876884375662E-4</v>
      </c>
      <c r="N6" s="7">
        <f>$B6 * IFERROR(VLOOKUP("electricity|NOx|Asthma symptoms cough", US_national_yearly!$D:$AM, 22, FALSE) / VLOOKUP("electricity|NOx|Asthma symptoms cough", US_national_yearly!$D:$AM, 10, FALSE), 1)</f>
        <v>3.4508770200009553E-4</v>
      </c>
      <c r="O6" s="7">
        <f>$B6 * IFERROR(VLOOKUP("electricity|NOx|Asthma symptoms cough", US_national_yearly!$D:$AM, 23, FALSE) / VLOOKUP("electricity|NOx|Asthma symptoms cough", US_national_yearly!$D:$AM, 10, FALSE), 1)</f>
        <v>3.465266351564345E-4</v>
      </c>
      <c r="P6" s="7">
        <f>$B6 * IFERROR(VLOOKUP("electricity|NOx|Asthma symptoms cough", US_national_yearly!$D:$AM, 24, FALSE) / VLOOKUP("electricity|NOx|Asthma symptoms cough", US_national_yearly!$D:$AM, 10, FALSE), 1)</f>
        <v>3.4796556831277346E-4</v>
      </c>
      <c r="Q6" s="7">
        <f>$B6 * IFERROR(VLOOKUP("electricity|NOx|Asthma symptoms cough", US_national_yearly!$D:$AM, 25, FALSE) / VLOOKUP("electricity|NOx|Asthma symptoms cough", US_national_yearly!$D:$AM, 10, FALSE), 1)</f>
        <v>3.4940450146911243E-4</v>
      </c>
      <c r="R6" s="7">
        <f>$B6 * IFERROR(VLOOKUP("electricity|NOx|Asthma symptoms cough", US_national_yearly!$D:$AM, 26, FALSE) / VLOOKUP("electricity|NOx|Asthma symptoms cough", US_national_yearly!$D:$AM, 10, FALSE), 1)</f>
        <v>3.5084343462545134E-4</v>
      </c>
      <c r="S6" s="7">
        <f>$B6 * IFERROR(VLOOKUP("electricity|NOx|Asthma symptoms cough", US_national_yearly!$D:$AM, 27, FALSE) / VLOOKUP("electricity|NOx|Asthma symptoms cough", US_national_yearly!$D:$AM, 10, FALSE), 1)</f>
        <v>3.5263863624631617E-4</v>
      </c>
      <c r="T6" s="7">
        <f>$B6 * IFERROR(VLOOKUP("electricity|NOx|Asthma symptoms cough", US_national_yearly!$D:$AM, 28, FALSE) / VLOOKUP("electricity|NOx|Asthma symptoms cough", US_national_yearly!$D:$AM, 10, FALSE), 1)</f>
        <v>3.5443383786718094E-4</v>
      </c>
      <c r="U6" s="7">
        <f>$B6 * IFERROR(VLOOKUP("electricity|NOx|Asthma symptoms cough", US_national_yearly!$D:$AM, 29, FALSE) / VLOOKUP("electricity|NOx|Asthma symptoms cough", US_national_yearly!$D:$AM, 10, FALSE), 1)</f>
        <v>3.5622903948804587E-4</v>
      </c>
      <c r="V6" s="7">
        <f>$B6 * IFERROR(VLOOKUP("electricity|NOx|Asthma symptoms cough", US_national_yearly!$D:$AM, 30, FALSE) / VLOOKUP("electricity|NOx|Asthma symptoms cough", US_national_yearly!$D:$AM, 10, FALSE), 1)</f>
        <v>3.5802424110891064E-4</v>
      </c>
      <c r="W6" s="7">
        <f>$B6 * IFERROR(VLOOKUP("electricity|NOx|Asthma symptoms cough", US_national_yearly!$D:$AM, 31, FALSE) / VLOOKUP("electricity|NOx|Asthma symptoms cough", US_national_yearly!$D:$AM, 10, FALSE), 1)</f>
        <v>3.5981944272977547E-4</v>
      </c>
      <c r="X6" s="7">
        <f>$B6 * IFERROR(VLOOKUP("electricity|NOx|Asthma symptoms cough", US_national_yearly!$D:$AM, 32, FALSE) / VLOOKUP("electricity|NOx|Asthma symptoms cough", US_national_yearly!$D:$AM, 10, FALSE), 1)</f>
        <v>3.6147337396636272E-4</v>
      </c>
      <c r="Y6" s="7">
        <f>$B6 * IFERROR(VLOOKUP("electricity|NOx|Asthma symptoms cough", US_national_yearly!$D:$AM, 33, FALSE) / VLOOKUP("electricity|NOx|Asthma symptoms cough", US_national_yearly!$D:$AM, 10, FALSE), 1)</f>
        <v>3.6312730520294997E-4</v>
      </c>
      <c r="Z6" s="7">
        <f>$B6 * IFERROR(VLOOKUP("electricity|NOx|Asthma symptoms cough", US_national_yearly!$D:$AM, 34, FALSE) / VLOOKUP("electricity|NOx|Asthma symptoms cough", US_national_yearly!$D:$AM, 10, FALSE), 1)</f>
        <v>3.6478123643953728E-4</v>
      </c>
      <c r="AA6" s="7">
        <f>$B6 * IFERROR(VLOOKUP("electricity|NOx|Asthma symptoms cough", US_national_yearly!$D:$AM, 35, FALSE) / VLOOKUP("electricity|NOx|Asthma symptoms cough", US_national_yearly!$D:$AM, 10, FALSE), 1)</f>
        <v>3.6643516767612447E-4</v>
      </c>
      <c r="AB6" s="7">
        <f>$B6 * IFERROR(VLOOKUP("electricity|NOx|Asthma symptoms cough", US_national_yearly!$D:$AM, 36, FALSE) / VLOOKUP("electricity|NOx|Asthma symptoms cough", US_national_yearly!$D:$AM, 10, FALSE), 1)</f>
        <v>3.6808909891271178E-4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4.2147405230044736E-4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4.2726035615443006E-4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4.3304666000841286E-4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4.3883296386239555E-4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4.4461926771637825E-4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4.4932383954646946E-4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4.5402841137656062E-4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4.55777279688267E-4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4.5752614799997315E-4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4.5927501631167942E-4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4.6102388462338558E-4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4.6277275293509184E-4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4.6471048446083708E-4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4.6664821598658236E-4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4.6858594751232759E-4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4.7052367903807288E-4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4.7246141056381805E-4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4.7487890909002112E-4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4.7729640761622402E-4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4.7971390614242704E-4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4.8213140466862994E-4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4.8454890319483295E-4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4.8677616072290711E-4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4.8900341825098138E-4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4.9123067577905549E-4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4.934579333071297E-4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4.9568519083520392E-4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6.4394150394197374E-4</v>
      </c>
      <c r="C8" s="7">
        <f>$B8 * IFERROR(VLOOKUP("electricity|NOx|Asthma symptoms wheeze", US_national_yearly!$D:$AM, 11, FALSE) / VLOOKUP("electricity|NOx|Asthma symptoms wheeze", US_national_yearly!$D:$AM, 10, FALSE), 1)</f>
        <v>6.5278200359229679E-4</v>
      </c>
      <c r="D8" s="7">
        <f>$B8 * IFERROR(VLOOKUP("electricity|NOx|Asthma symptoms wheeze", US_national_yearly!$D:$AM, 12, FALSE) / VLOOKUP("electricity|NOx|Asthma symptoms wheeze", US_national_yearly!$D:$AM, 10, FALSE), 1)</f>
        <v>6.6162250324261983E-4</v>
      </c>
      <c r="E8" s="7">
        <f>$B8 * IFERROR(VLOOKUP("electricity|NOx|Asthma symptoms wheeze", US_national_yearly!$D:$AM, 13, FALSE) / VLOOKUP("electricity|NOx|Asthma symptoms wheeze", US_national_yearly!$D:$AM, 10, FALSE), 1)</f>
        <v>6.7046300289294288E-4</v>
      </c>
      <c r="F8" s="7">
        <f>$B8 * IFERROR(VLOOKUP("electricity|NOx|Asthma symptoms wheeze", US_national_yearly!$D:$AM, 14, FALSE) / VLOOKUP("electricity|NOx|Asthma symptoms wheeze", US_national_yearly!$D:$AM, 10, FALSE), 1)</f>
        <v>6.7930350254326603E-4</v>
      </c>
      <c r="G8" s="7">
        <f>$B8 * IFERROR(VLOOKUP("electricity|NOx|Asthma symptoms wheeze", US_national_yearly!$D:$AM, 15, FALSE) / VLOOKUP("electricity|NOx|Asthma symptoms wheeze", US_national_yearly!$D:$AM, 10, FALSE), 1)</f>
        <v>6.8649129750048205E-4</v>
      </c>
      <c r="H8" s="7">
        <f>$B8 * IFERROR(VLOOKUP("electricity|NOx|Asthma symptoms wheeze", US_national_yearly!$D:$AM, 16, FALSE) / VLOOKUP("electricity|NOx|Asthma symptoms wheeze", US_national_yearly!$D:$AM, 10, FALSE), 1)</f>
        <v>6.9367909245769818E-4</v>
      </c>
      <c r="I8" s="7">
        <f>$B8 * IFERROR(VLOOKUP("electricity|NOx|Asthma symptoms wheeze", US_national_yearly!$D:$AM, 17, FALSE) / VLOOKUP("electricity|NOx|Asthma symptoms wheeze", US_national_yearly!$D:$AM, 10, FALSE), 1)</f>
        <v>6.9635106928126063E-4</v>
      </c>
      <c r="J8" s="7">
        <f>$B8 * IFERROR(VLOOKUP("electricity|NOx|Asthma symptoms wheeze", US_national_yearly!$D:$AM, 18, FALSE) / VLOOKUP("electricity|NOx|Asthma symptoms wheeze", US_national_yearly!$D:$AM, 10, FALSE), 1)</f>
        <v>6.990230461048232E-4</v>
      </c>
      <c r="K8" s="7">
        <f>$B8 * IFERROR(VLOOKUP("electricity|NOx|Asthma symptoms wheeze", US_national_yearly!$D:$AM, 19, FALSE) / VLOOKUP("electricity|NOx|Asthma symptoms wheeze", US_national_yearly!$D:$AM, 10, FALSE), 1)</f>
        <v>7.0169502292838598E-4</v>
      </c>
      <c r="L8" s="7">
        <f>$B8 * IFERROR(VLOOKUP("electricity|NOx|Asthma symptoms wheeze", US_national_yearly!$D:$AM, 20, FALSE) / VLOOKUP("electricity|NOx|Asthma symptoms wheeze", US_national_yearly!$D:$AM, 10, FALSE), 1)</f>
        <v>7.0436699975194843E-4</v>
      </c>
      <c r="M8" s="7">
        <f>$B8 * IFERROR(VLOOKUP("electricity|NOx|Asthma symptoms wheeze", US_national_yearly!$D:$AM, 21, FALSE) / VLOOKUP("electricity|NOx|Asthma symptoms wheeze", US_national_yearly!$D:$AM, 10, FALSE), 1)</f>
        <v>7.0703897657551089E-4</v>
      </c>
      <c r="N8" s="7">
        <f>$B8 * IFERROR(VLOOKUP("electricity|NOx|Asthma symptoms wheeze", US_national_yearly!$D:$AM, 22, FALSE) / VLOOKUP("electricity|NOx|Asthma symptoms wheeze", US_national_yearly!$D:$AM, 10, FALSE), 1)</f>
        <v>7.0999950464005056E-4</v>
      </c>
      <c r="O8" s="7">
        <f>$B8 * IFERROR(VLOOKUP("electricity|NOx|Asthma symptoms wheeze", US_national_yearly!$D:$AM, 23, FALSE) / VLOOKUP("electricity|NOx|Asthma symptoms wheeze", US_national_yearly!$D:$AM, 10, FALSE), 1)</f>
        <v>7.1296003270459023E-4</v>
      </c>
      <c r="P8" s="7">
        <f>$B8 * IFERROR(VLOOKUP("electricity|NOx|Asthma symptoms wheeze", US_national_yearly!$D:$AM, 24, FALSE) / VLOOKUP("electricity|NOx|Asthma symptoms wheeze", US_national_yearly!$D:$AM, 10, FALSE), 1)</f>
        <v>7.1592056076913001E-4</v>
      </c>
      <c r="Q8" s="7">
        <f>$B8 * IFERROR(VLOOKUP("electricity|NOx|Asthma symptoms wheeze", US_national_yearly!$D:$AM, 25, FALSE) / VLOOKUP("electricity|NOx|Asthma symptoms wheeze", US_national_yearly!$D:$AM, 10, FALSE), 1)</f>
        <v>7.1888108883366958E-4</v>
      </c>
      <c r="R8" s="7">
        <f>$B8 * IFERROR(VLOOKUP("electricity|NOx|Asthma symptoms wheeze", US_national_yearly!$D:$AM, 26, FALSE) / VLOOKUP("electricity|NOx|Asthma symptoms wheeze", US_national_yearly!$D:$AM, 10, FALSE), 1)</f>
        <v>7.2184161689820914E-4</v>
      </c>
      <c r="S8" s="7">
        <f>$B8 * IFERROR(VLOOKUP("electricity|NOx|Asthma symptoms wheeze", US_national_yearly!$D:$AM, 27, FALSE) / VLOOKUP("electricity|NOx|Asthma symptoms wheeze", US_national_yearly!$D:$AM, 10, FALSE), 1)</f>
        <v>7.2553514828862435E-4</v>
      </c>
      <c r="T8" s="7">
        <f>$B8 * IFERROR(VLOOKUP("electricity|NOx|Asthma symptoms wheeze", US_national_yearly!$D:$AM, 28, FALSE) / VLOOKUP("electricity|NOx|Asthma symptoms wheeze", US_national_yearly!$D:$AM, 10, FALSE), 1)</f>
        <v>7.2922867967903967E-4</v>
      </c>
      <c r="U8" s="7">
        <f>$B8 * IFERROR(VLOOKUP("electricity|NOx|Asthma symptoms wheeze", US_national_yearly!$D:$AM, 29, FALSE) / VLOOKUP("electricity|NOx|Asthma symptoms wheeze", US_national_yearly!$D:$AM, 10, FALSE), 1)</f>
        <v>7.3292221106945488E-4</v>
      </c>
      <c r="V8" s="7">
        <f>$B8 * IFERROR(VLOOKUP("electricity|NOx|Asthma symptoms wheeze", US_national_yearly!$D:$AM, 30, FALSE) / VLOOKUP("electricity|NOx|Asthma symptoms wheeze", US_national_yearly!$D:$AM, 10, FALSE), 1)</f>
        <v>7.3661574245987009E-4</v>
      </c>
      <c r="W8" s="7">
        <f>$B8 * IFERROR(VLOOKUP("electricity|NOx|Asthma symptoms wheeze", US_national_yearly!$D:$AM, 31, FALSE) / VLOOKUP("electricity|NOx|Asthma symptoms wheeze", US_national_yearly!$D:$AM, 10, FALSE), 1)</f>
        <v>7.4030927385028541E-4</v>
      </c>
      <c r="X8" s="7">
        <f>$B8 * IFERROR(VLOOKUP("electricity|NOx|Asthma symptoms wheeze", US_national_yearly!$D:$AM, 32, FALSE) / VLOOKUP("electricity|NOx|Asthma symptoms wheeze", US_national_yearly!$D:$AM, 10, FALSE), 1)</f>
        <v>7.4371214897467808E-4</v>
      </c>
      <c r="Y8" s="7">
        <f>$B8 * IFERROR(VLOOKUP("electricity|NOx|Asthma symptoms wheeze", US_national_yearly!$D:$AM, 33, FALSE) / VLOOKUP("electricity|NOx|Asthma symptoms wheeze", US_national_yearly!$D:$AM, 10, FALSE), 1)</f>
        <v>7.4711502409907096E-4</v>
      </c>
      <c r="Z8" s="7">
        <f>$B8 * IFERROR(VLOOKUP("electricity|NOx|Asthma symptoms wheeze", US_national_yearly!$D:$AM, 34, FALSE) / VLOOKUP("electricity|NOx|Asthma symptoms wheeze", US_national_yearly!$D:$AM, 10, FALSE), 1)</f>
        <v>7.5051789922346351E-4</v>
      </c>
      <c r="AA8" s="7">
        <f>$B8 * IFERROR(VLOOKUP("electricity|NOx|Asthma symptoms wheeze", US_national_yearly!$D:$AM, 35, FALSE) / VLOOKUP("electricity|NOx|Asthma symptoms wheeze", US_national_yearly!$D:$AM, 10, FALSE), 1)</f>
        <v>7.5392077434785639E-4</v>
      </c>
      <c r="AB8" s="7">
        <f>$B8 * IFERROR(VLOOKUP("electricity|NOx|Asthma symptoms wheeze", US_national_yearly!$D:$AM, 36, FALSE) / VLOOKUP("electricity|NOx|Asthma symptoms wheeze", US_national_yearly!$D:$AM, 10, FALSE), 1)</f>
        <v>7.5732364947224905E-4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3.5885043766923332E-6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3.6804119674328193E-6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3.7723195581733066E-6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3.8642271489137927E-6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3.9561347396542779E-6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4.0446099756944472E-6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4.1330852117346182E-6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4.2091666360148645E-6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4.2852480602951117E-6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4.3613294845753597E-6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4.4374109088556069E-6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4.513492333135854E-6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4.5656318885565256E-6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4.6177714439771973E-6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4.6699109993978689E-6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4.7220505548185405E-6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4.7741901102392113E-6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4.8038852504694633E-6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4.8335803906997161E-6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4.8632755309299673E-6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4.8929706711602184E-6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4.9226658113904704E-6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4.9442644407592016E-6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4.965863070127931E-6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4.987461699496663E-6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5.0090603288653934E-6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5.0306589582341237E-6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2.3334547868170394E-5</v>
      </c>
      <c r="C13" s="7">
        <f>$B13 * IFERROR(VLOOKUP("electricity|NOx|Non-fatal heart attacks", US_national_yearly!$D:$AM, 11, FALSE) / VLOOKUP("electricity|NOx|Non-fatal heart attacks", US_national_yearly!$D:$AM, 10, FALSE), 1)</f>
        <v>2.4004185106486765E-5</v>
      </c>
      <c r="D13" s="7">
        <f>$B13 * IFERROR(VLOOKUP("electricity|NOx|Non-fatal heart attacks", US_national_yearly!$D:$AM, 12, FALSE) / VLOOKUP("electricity|NOx|Non-fatal heart attacks", US_national_yearly!$D:$AM, 10, FALSE), 1)</f>
        <v>2.4673822344803133E-5</v>
      </c>
      <c r="E13" s="7">
        <f>$B13 * IFERROR(VLOOKUP("electricity|NOx|Non-fatal heart attacks", US_national_yearly!$D:$AM, 13, FALSE) / VLOOKUP("electricity|NOx|Non-fatal heart attacks", US_national_yearly!$D:$AM, 10, FALSE), 1)</f>
        <v>2.5343459583119504E-5</v>
      </c>
      <c r="F13" s="7">
        <f>$B13 * IFERROR(VLOOKUP("electricity|NOx|Non-fatal heart attacks", US_national_yearly!$D:$AM, 14, FALSE) / VLOOKUP("electricity|NOx|Non-fatal heart attacks", US_national_yearly!$D:$AM, 10, FALSE), 1)</f>
        <v>2.6013096821435882E-5</v>
      </c>
      <c r="G13" s="7">
        <f>$B13 * IFERROR(VLOOKUP("electricity|NOx|Non-fatal heart attacks", US_national_yearly!$D:$AM, 15, FALSE) / VLOOKUP("electricity|NOx|Non-fatal heart attacks", US_national_yearly!$D:$AM, 10, FALSE), 1)</f>
        <v>2.6643920792802976E-5</v>
      </c>
      <c r="H13" s="7">
        <f>$B13 * IFERROR(VLOOKUP("electricity|NOx|Non-fatal heart attacks", US_national_yearly!$D:$AM, 16, FALSE) / VLOOKUP("electricity|NOx|Non-fatal heart attacks", US_national_yearly!$D:$AM, 10, FALSE), 1)</f>
        <v>2.7274744764170071E-5</v>
      </c>
      <c r="I13" s="7">
        <f>$B13 * IFERROR(VLOOKUP("electricity|NOx|Non-fatal heart attacks", US_national_yearly!$D:$AM, 17, FALSE) / VLOOKUP("electricity|NOx|Non-fatal heart attacks", US_national_yearly!$D:$AM, 10, FALSE), 1)</f>
        <v>2.7780601769177384E-5</v>
      </c>
      <c r="J13" s="7">
        <f>$B13 * IFERROR(VLOOKUP("electricity|NOx|Non-fatal heart attacks", US_national_yearly!$D:$AM, 18, FALSE) / VLOOKUP("electricity|NOx|Non-fatal heart attacks", US_national_yearly!$D:$AM, 10, FALSE), 1)</f>
        <v>2.8286458774184698E-5</v>
      </c>
      <c r="K13" s="7">
        <f>$B13 * IFERROR(VLOOKUP("electricity|NOx|Non-fatal heart attacks", US_national_yearly!$D:$AM, 19, FALSE) / VLOOKUP("electricity|NOx|Non-fatal heart attacks", US_national_yearly!$D:$AM, 10, FALSE), 1)</f>
        <v>2.8792315779191984E-5</v>
      </c>
      <c r="L13" s="7">
        <f>$B13 * IFERROR(VLOOKUP("electricity|NOx|Non-fatal heart attacks", US_national_yearly!$D:$AM, 20, FALSE) / VLOOKUP("electricity|NOx|Non-fatal heart attacks", US_national_yearly!$D:$AM, 10, FALSE), 1)</f>
        <v>2.9298172784199298E-5</v>
      </c>
      <c r="M13" s="7">
        <f>$B13 * IFERROR(VLOOKUP("electricity|NOx|Non-fatal heart attacks", US_national_yearly!$D:$AM, 21, FALSE) / VLOOKUP("electricity|NOx|Non-fatal heart attacks", US_national_yearly!$D:$AM, 10, FALSE), 1)</f>
        <v>2.9804029789206615E-5</v>
      </c>
      <c r="N13" s="7">
        <f>$B13 * IFERROR(VLOOKUP("electricity|NOx|Non-fatal heart attacks", US_national_yearly!$D:$AM, 22, FALSE) / VLOOKUP("electricity|NOx|Non-fatal heart attacks", US_national_yearly!$D:$AM, 10, FALSE), 1)</f>
        <v>3.0116002314612556E-5</v>
      </c>
      <c r="O13" s="7">
        <f>$B13 * IFERROR(VLOOKUP("electricity|NOx|Non-fatal heart attacks", US_national_yearly!$D:$AM, 23, FALSE) / VLOOKUP("electricity|NOx|Non-fatal heart attacks", US_national_yearly!$D:$AM, 10, FALSE), 1)</f>
        <v>3.0427974840018508E-5</v>
      </c>
      <c r="P13" s="7">
        <f>$B13 * IFERROR(VLOOKUP("electricity|NOx|Non-fatal heart attacks", US_national_yearly!$D:$AM, 24, FALSE) / VLOOKUP("electricity|NOx|Non-fatal heart attacks", US_national_yearly!$D:$AM, 10, FALSE), 1)</f>
        <v>3.0739947365424456E-5</v>
      </c>
      <c r="Q13" s="7">
        <f>$B13 * IFERROR(VLOOKUP("electricity|NOx|Non-fatal heart attacks", US_national_yearly!$D:$AM, 25, FALSE) / VLOOKUP("electricity|NOx|Non-fatal heart attacks", US_national_yearly!$D:$AM, 10, FALSE), 1)</f>
        <v>3.1051919890830404E-5</v>
      </c>
      <c r="R13" s="7">
        <f>$B13 * IFERROR(VLOOKUP("electricity|NOx|Non-fatal heart attacks", US_national_yearly!$D:$AM, 26, FALSE) / VLOOKUP("electricity|NOx|Non-fatal heart attacks", US_national_yearly!$D:$AM, 10, FALSE), 1)</f>
        <v>3.1363892416236352E-5</v>
      </c>
      <c r="S13" s="7">
        <f>$B13 * IFERROR(VLOOKUP("electricity|NOx|Non-fatal heart attacks", US_national_yearly!$D:$AM, 27, FALSE) / VLOOKUP("electricity|NOx|Non-fatal heart attacks", US_national_yearly!$D:$AM, 10, FALSE), 1)</f>
        <v>3.1516321152807894E-5</v>
      </c>
      <c r="T13" s="7">
        <f>$B13 * IFERROR(VLOOKUP("electricity|NOx|Non-fatal heart attacks", US_national_yearly!$D:$AM, 28, FALSE) / VLOOKUP("electricity|NOx|Non-fatal heart attacks", US_national_yearly!$D:$AM, 10, FALSE), 1)</f>
        <v>3.1668749889379436E-5</v>
      </c>
      <c r="U13" s="7">
        <f>$B13 * IFERROR(VLOOKUP("electricity|NOx|Non-fatal heart attacks", US_national_yearly!$D:$AM, 29, FALSE) / VLOOKUP("electricity|NOx|Non-fatal heart attacks", US_national_yearly!$D:$AM, 10, FALSE), 1)</f>
        <v>3.1821178625950984E-5</v>
      </c>
      <c r="V13" s="7">
        <f>$B13 * IFERROR(VLOOKUP("electricity|NOx|Non-fatal heart attacks", US_national_yearly!$D:$AM, 30, FALSE) / VLOOKUP("electricity|NOx|Non-fatal heart attacks", US_national_yearly!$D:$AM, 10, FALSE), 1)</f>
        <v>3.1973607362522526E-5</v>
      </c>
      <c r="W13" s="7">
        <f>$B13 * IFERROR(VLOOKUP("electricity|NOx|Non-fatal heart attacks", US_national_yearly!$D:$AM, 31, FALSE) / VLOOKUP("electricity|NOx|Non-fatal heart attacks", US_national_yearly!$D:$AM, 10, FALSE), 1)</f>
        <v>3.2126036099094075E-5</v>
      </c>
      <c r="X13" s="7">
        <f>$B13 * IFERROR(VLOOKUP("electricity|NOx|Non-fatal heart attacks", US_national_yearly!$D:$AM, 32, FALSE) / VLOOKUP("electricity|NOx|Non-fatal heart attacks", US_national_yearly!$D:$AM, 10, FALSE), 1)</f>
        <v>3.2232427306407996E-5</v>
      </c>
      <c r="Y13" s="7">
        <f>$B13 * IFERROR(VLOOKUP("electricity|NOx|Non-fatal heart attacks", US_national_yearly!$D:$AM, 33, FALSE) / VLOOKUP("electricity|NOx|Non-fatal heart attacks", US_national_yearly!$D:$AM, 10, FALSE), 1)</f>
        <v>3.2338818513721937E-5</v>
      </c>
      <c r="Z13" s="7">
        <f>$B13 * IFERROR(VLOOKUP("electricity|NOx|Non-fatal heart attacks", US_national_yearly!$D:$AM, 34, FALSE) / VLOOKUP("electricity|NOx|Non-fatal heart attacks", US_national_yearly!$D:$AM, 10, FALSE), 1)</f>
        <v>3.2445209721035858E-5</v>
      </c>
      <c r="AA13" s="7">
        <f>$B13 * IFERROR(VLOOKUP("electricity|NOx|Non-fatal heart attacks", US_national_yearly!$D:$AM, 35, FALSE) / VLOOKUP("electricity|NOx|Non-fatal heart attacks", US_national_yearly!$D:$AM, 10, FALSE), 1)</f>
        <v>3.2551600928349786E-5</v>
      </c>
      <c r="AB13" s="7">
        <f>$B13 * IFERROR(VLOOKUP("electricity|NOx|Non-fatal heart attacks", US_national_yearly!$D:$AM, 36, FALSE) / VLOOKUP("electricity|NOx|Non-fatal heart attacks", US_national_yearly!$D:$AM, 10, FALSE), 1)</f>
        <v>3.265799213566372E-5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2.8695840509034364E-2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2.8739837497994754E-2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2.8783834486955141E-2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2.8827831475915531E-2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2.8871828464875928E-2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2.8948574588707501E-2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2.9025320712539066E-2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2.9177162398803639E-2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2.9329004085068201E-2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2.9480845771332774E-2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2.9632687457597333E-2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2.9784529143861909E-2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3.0004104979992598E-2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3.0223680816123283E-2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3.0443256652253968E-2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3.0662832488384657E-2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3.0882408324515349E-2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3.1103644663912539E-2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3.1324881003309726E-2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3.1546117342706924E-2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3.1767353682104114E-2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3.1988590021501305E-2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3.2175690400773747E-2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3.2362790780046176E-2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3.2549891159318646E-2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3.2736991538591088E-2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3.2924091917863531E-2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4.9117951054158324E-3</v>
      </c>
      <c r="C15" s="7">
        <f>$B15 * IFERROR(VLOOKUP("electricity|NOx|Work loss days", US_national_yearly!$D:$AM, 11, FALSE) / VLOOKUP("electricity|NOx|Work loss days", US_national_yearly!$D:$AM, 10, FALSE), 1)</f>
        <v>4.922750163978259E-3</v>
      </c>
      <c r="D15" s="7">
        <f>$B15 * IFERROR(VLOOKUP("electricity|NOx|Work loss days", US_national_yearly!$D:$AM, 12, FALSE) / VLOOKUP("electricity|NOx|Work loss days", US_national_yearly!$D:$AM, 10, FALSE), 1)</f>
        <v>4.9337052225406856E-3</v>
      </c>
      <c r="E15" s="7">
        <f>$B15 * IFERROR(VLOOKUP("electricity|NOx|Work loss days", US_national_yearly!$D:$AM, 13, FALSE) / VLOOKUP("electricity|NOx|Work loss days", US_national_yearly!$D:$AM, 10, FALSE), 1)</f>
        <v>4.944660281103113E-3</v>
      </c>
      <c r="F15" s="7">
        <f>$B15 * IFERROR(VLOOKUP("electricity|NOx|Work loss days", US_national_yearly!$D:$AM, 14, FALSE) / VLOOKUP("electricity|NOx|Work loss days", US_national_yearly!$D:$AM, 10, FALSE), 1)</f>
        <v>4.9556153396655396E-3</v>
      </c>
      <c r="G15" s="7">
        <f>$B15 * IFERROR(VLOOKUP("electricity|NOx|Work loss days", US_national_yearly!$D:$AM, 15, FALSE) / VLOOKUP("electricity|NOx|Work loss days", US_national_yearly!$D:$AM, 10, FALSE), 1)</f>
        <v>4.9710594608808837E-3</v>
      </c>
      <c r="H15" s="7">
        <f>$B15 * IFERROR(VLOOKUP("electricity|NOx|Work loss days", US_national_yearly!$D:$AM, 16, FALSE) / VLOOKUP("electricity|NOx|Work loss days", US_national_yearly!$D:$AM, 10, FALSE), 1)</f>
        <v>4.9865035820962269E-3</v>
      </c>
      <c r="I15" s="7">
        <f>$B15 * IFERROR(VLOOKUP("electricity|NOx|Work loss days", US_national_yearly!$D:$AM, 17, FALSE) / VLOOKUP("electricity|NOx|Work loss days", US_national_yearly!$D:$AM, 10, FALSE), 1)</f>
        <v>5.0115806890136411E-3</v>
      </c>
      <c r="J15" s="7">
        <f>$B15 * IFERROR(VLOOKUP("electricity|NOx|Work loss days", US_national_yearly!$D:$AM, 18, FALSE) / VLOOKUP("electricity|NOx|Work loss days", US_national_yearly!$D:$AM, 10, FALSE), 1)</f>
        <v>5.0366577959310545E-3</v>
      </c>
      <c r="K15" s="7">
        <f>$B15 * IFERROR(VLOOKUP("electricity|NOx|Work loss days", US_national_yearly!$D:$AM, 19, FALSE) / VLOOKUP("electricity|NOx|Work loss days", US_national_yearly!$D:$AM, 10, FALSE), 1)</f>
        <v>5.061734902848467E-3</v>
      </c>
      <c r="L15" s="7">
        <f>$B15 * IFERROR(VLOOKUP("electricity|NOx|Work loss days", US_national_yearly!$D:$AM, 20, FALSE) / VLOOKUP("electricity|NOx|Work loss days", US_national_yearly!$D:$AM, 10, FALSE), 1)</f>
        <v>5.0868120097658804E-3</v>
      </c>
      <c r="M15" s="7">
        <f>$B15 * IFERROR(VLOOKUP("electricity|NOx|Work loss days", US_national_yearly!$D:$AM, 21, FALSE) / VLOOKUP("electricity|NOx|Work loss days", US_national_yearly!$D:$AM, 10, FALSE), 1)</f>
        <v>5.1118891166832929E-3</v>
      </c>
      <c r="N15" s="7">
        <f>$B15 * IFERROR(VLOOKUP("electricity|NOx|Work loss days", US_national_yearly!$D:$AM, 22, FALSE) / VLOOKUP("electricity|NOx|Work loss days", US_national_yearly!$D:$AM, 10, FALSE), 1)</f>
        <v>5.1449750757290112E-3</v>
      </c>
      <c r="O15" s="7">
        <f>$B15 * IFERROR(VLOOKUP("electricity|NOx|Work loss days", US_national_yearly!$D:$AM, 23, FALSE) / VLOOKUP("electricity|NOx|Work loss days", US_national_yearly!$D:$AM, 10, FALSE), 1)</f>
        <v>5.1780610347747277E-3</v>
      </c>
      <c r="P15" s="7">
        <f>$B15 * IFERROR(VLOOKUP("electricity|NOx|Work loss days", US_national_yearly!$D:$AM, 24, FALSE) / VLOOKUP("electricity|NOx|Work loss days", US_national_yearly!$D:$AM, 10, FALSE), 1)</f>
        <v>5.2111469938204459E-3</v>
      </c>
      <c r="Q15" s="7">
        <f>$B15 * IFERROR(VLOOKUP("electricity|NOx|Work loss days", US_national_yearly!$D:$AM, 25, FALSE) / VLOOKUP("electricity|NOx|Work loss days", US_national_yearly!$D:$AM, 10, FALSE), 1)</f>
        <v>5.2442329528661642E-3</v>
      </c>
      <c r="R15" s="7">
        <f>$B15 * IFERROR(VLOOKUP("electricity|NOx|Work loss days", US_national_yearly!$D:$AM, 26, FALSE) / VLOOKUP("electricity|NOx|Work loss days", US_national_yearly!$D:$AM, 10, FALSE), 1)</f>
        <v>5.2773189119118807E-3</v>
      </c>
      <c r="S15" s="7">
        <f>$B15 * IFERROR(VLOOKUP("electricity|NOx|Work loss days", US_national_yearly!$D:$AM, 27, FALSE) / VLOOKUP("electricity|NOx|Work loss days", US_national_yearly!$D:$AM, 10, FALSE), 1)</f>
        <v>5.3143959421932743E-3</v>
      </c>
      <c r="T15" s="7">
        <f>$B15 * IFERROR(VLOOKUP("electricity|NOx|Work loss days", US_national_yearly!$D:$AM, 28, FALSE) / VLOOKUP("electricity|NOx|Work loss days", US_national_yearly!$D:$AM, 10, FALSE), 1)</f>
        <v>5.3514729724746662E-3</v>
      </c>
      <c r="U15" s="7">
        <f>$B15 * IFERROR(VLOOKUP("electricity|NOx|Work loss days", US_national_yearly!$D:$AM, 29, FALSE) / VLOOKUP("electricity|NOx|Work loss days", US_national_yearly!$D:$AM, 10, FALSE), 1)</f>
        <v>5.388550002756059E-3</v>
      </c>
      <c r="V15" s="7">
        <f>$B15 * IFERROR(VLOOKUP("electricity|NOx|Work loss days", US_national_yearly!$D:$AM, 30, FALSE) / VLOOKUP("electricity|NOx|Work loss days", US_national_yearly!$D:$AM, 10, FALSE), 1)</f>
        <v>5.425627033037451E-3</v>
      </c>
      <c r="W15" s="7">
        <f>$B15 * IFERROR(VLOOKUP("electricity|NOx|Work loss days", US_national_yearly!$D:$AM, 31, FALSE) / VLOOKUP("electricity|NOx|Work loss days", US_national_yearly!$D:$AM, 10, FALSE), 1)</f>
        <v>5.4627040633188446E-3</v>
      </c>
      <c r="X15" s="7">
        <f>$B15 * IFERROR(VLOOKUP("electricity|NOx|Work loss days", US_national_yearly!$D:$AM, 32, FALSE) / VLOOKUP("electricity|NOx|Work loss days", US_national_yearly!$D:$AM, 10, FALSE), 1)</f>
        <v>5.4950242711456678E-3</v>
      </c>
      <c r="Y15" s="7">
        <f>$B15 * IFERROR(VLOOKUP("electricity|NOx|Work loss days", US_national_yearly!$D:$AM, 33, FALSE) / VLOOKUP("electricity|NOx|Work loss days", US_national_yearly!$D:$AM, 10, FALSE), 1)</f>
        <v>5.5273444789724901E-3</v>
      </c>
      <c r="Z15" s="7">
        <f>$B15 * IFERROR(VLOOKUP("electricity|NOx|Work loss days", US_national_yearly!$D:$AM, 34, FALSE) / VLOOKUP("electricity|NOx|Work loss days", US_national_yearly!$D:$AM, 10, FALSE), 1)</f>
        <v>5.5596646867993134E-3</v>
      </c>
      <c r="AA15" s="7">
        <f>$B15 * IFERROR(VLOOKUP("electricity|NOx|Work loss days", US_national_yearly!$D:$AM, 35, FALSE) / VLOOKUP("electricity|NOx|Work loss days", US_national_yearly!$D:$AM, 10, FALSE), 1)</f>
        <v>5.5919848946261366E-3</v>
      </c>
      <c r="AB15" s="7">
        <f>$B15 * IFERROR(VLOOKUP("electricity|NOx|Work loss days", US_national_yearly!$D:$AM, 36, FALSE) / VLOOKUP("electricity|NOx|Work loss days", US_national_yearly!$D:$AM, 10, FALSE), 1)</f>
        <v>5.6243051024529598E-3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4.6058199146310049E-6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4.7414918633962251E-6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4.8771638121614463E-6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5.0128357609266665E-6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5.1485077096918885E-6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5.278424134664138E-6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5.4083405596363875E-6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5.5192308975768601E-6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5.6301212355173336E-6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5.741011573457807E-6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5.8519019113982805E-6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5.9627922493387522E-6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6.0339585770267757E-6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6.1051249047147992E-6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6.1762912324028226E-6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6.2474575600908461E-6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6.3186238877788695E-6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6.353646091812203E-6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6.3886682958455365E-6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6.4236904998788708E-6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6.4587127039122051E-6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6.4937349079455394E-6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6.5147250450931768E-6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6.535715182240815E-6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6.5567053193884525E-6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6.5776954565360907E-6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6.5986855936837281E-6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6.7066516952669084E-4</v>
      </c>
      <c r="C2" s="7">
        <f>$B2 * IFERROR(VLOOKUP("electricity|SO2|Premature mortality", US_national_yearly!$D:$AM, 11, FALSE) / VLOOKUP("electricity|SO2|Premature mortality", US_national_yearly!$D:$AM, 10, FALSE), 1)</f>
        <v>6.7926325172684493E-4</v>
      </c>
      <c r="D2" s="7">
        <f>$B2 * IFERROR(VLOOKUP("electricity|SO2|Premature mortality", US_national_yearly!$D:$AM, 12, FALSE) / VLOOKUP("electricity|SO2|Premature mortality", US_national_yearly!$D:$AM, 10, FALSE), 1)</f>
        <v>6.8786133392699891E-4</v>
      </c>
      <c r="E2" s="7">
        <f>$B2 * IFERROR(VLOOKUP("electricity|SO2|Premature mortality", US_national_yearly!$D:$AM, 13, FALSE) / VLOOKUP("electricity|SO2|Premature mortality", US_national_yearly!$D:$AM, 10, FALSE), 1)</f>
        <v>6.964594161271531E-4</v>
      </c>
      <c r="F2" s="7">
        <f>$B2 * IFERROR(VLOOKUP("electricity|SO2|Premature mortality", US_national_yearly!$D:$AM, 14, FALSE) / VLOOKUP("electricity|SO2|Premature mortality", US_national_yearly!$D:$AM, 10, FALSE), 1)</f>
        <v>7.0505749832730708E-4</v>
      </c>
      <c r="G2" s="7">
        <f>$B2 * IFERROR(VLOOKUP("electricity|SO2|Premature mortality", US_national_yearly!$D:$AM, 15, FALSE) / VLOOKUP("electricity|SO2|Premature mortality", US_national_yearly!$D:$AM, 10, FALSE), 1)</f>
        <v>7.2162085329786744E-4</v>
      </c>
      <c r="H2" s="7">
        <f>$B2 * IFERROR(VLOOKUP("electricity|SO2|Premature mortality", US_national_yearly!$D:$AM, 16, FALSE) / VLOOKUP("electricity|SO2|Premature mortality", US_national_yearly!$D:$AM, 10, FALSE), 1)</f>
        <v>7.381842082684277E-4</v>
      </c>
      <c r="I2" s="7">
        <f>$B2 * IFERROR(VLOOKUP("electricity|SO2|Premature mortality", US_national_yearly!$D:$AM, 17, FALSE) / VLOOKUP("electricity|SO2|Premature mortality", US_national_yearly!$D:$AM, 10, FALSE), 1)</f>
        <v>7.4933363383517307E-4</v>
      </c>
      <c r="J2" s="7">
        <f>$B2 * IFERROR(VLOOKUP("electricity|SO2|Premature mortality", US_national_yearly!$D:$AM, 18, FALSE) / VLOOKUP("electricity|SO2|Premature mortality", US_national_yearly!$D:$AM, 10, FALSE), 1)</f>
        <v>7.6048305940191845E-4</v>
      </c>
      <c r="K2" s="7">
        <f>$B2 * IFERROR(VLOOKUP("electricity|SO2|Premature mortality", US_national_yearly!$D:$AM, 19, FALSE) / VLOOKUP("electricity|SO2|Premature mortality", US_national_yearly!$D:$AM, 10, FALSE), 1)</f>
        <v>7.7163248496866371E-4</v>
      </c>
      <c r="L2" s="7">
        <f>$B2 * IFERROR(VLOOKUP("electricity|SO2|Premature mortality", US_national_yearly!$D:$AM, 20, FALSE) / VLOOKUP("electricity|SO2|Premature mortality", US_national_yearly!$D:$AM, 10, FALSE), 1)</f>
        <v>7.827819105354093E-4</v>
      </c>
      <c r="M2" s="7">
        <f>$B2 * IFERROR(VLOOKUP("electricity|SO2|Premature mortality", US_national_yearly!$D:$AM, 21, FALSE) / VLOOKUP("electricity|SO2|Premature mortality", US_national_yearly!$D:$AM, 10, FALSE), 1)</f>
        <v>7.9393133610215457E-4</v>
      </c>
      <c r="N2" s="7">
        <f>$B2 * IFERROR(VLOOKUP("electricity|SO2|Premature mortality", US_national_yearly!$D:$AM, 22, FALSE) / VLOOKUP("electricity|SO2|Premature mortality", US_national_yearly!$D:$AM, 10, FALSE), 1)</f>
        <v>8.0286671203607415E-4</v>
      </c>
      <c r="O2" s="7">
        <f>$B2 * IFERROR(VLOOKUP("electricity|SO2|Premature mortality", US_national_yearly!$D:$AM, 23, FALSE) / VLOOKUP("electricity|SO2|Premature mortality", US_national_yearly!$D:$AM, 10, FALSE), 1)</f>
        <v>8.1180208796999395E-4</v>
      </c>
      <c r="P2" s="7">
        <f>$B2 * IFERROR(VLOOKUP("electricity|SO2|Premature mortality", US_national_yearly!$D:$AM, 24, FALSE) / VLOOKUP("electricity|SO2|Premature mortality", US_national_yearly!$D:$AM, 10, FALSE), 1)</f>
        <v>8.2073746390391342E-4</v>
      </c>
      <c r="Q2" s="7">
        <f>$B2 * IFERROR(VLOOKUP("electricity|SO2|Premature mortality", US_national_yearly!$D:$AM, 25, FALSE) / VLOOKUP("electricity|SO2|Premature mortality", US_national_yearly!$D:$AM, 10, FALSE), 1)</f>
        <v>8.2967283983783301E-4</v>
      </c>
      <c r="R2" s="7">
        <f>$B2 * IFERROR(VLOOKUP("electricity|SO2|Premature mortality", US_national_yearly!$D:$AM, 26, FALSE) / VLOOKUP("electricity|SO2|Premature mortality", US_national_yearly!$D:$AM, 10, FALSE), 1)</f>
        <v>8.386082157717527E-4</v>
      </c>
      <c r="S2" s="7">
        <f>$B2 * IFERROR(VLOOKUP("electricity|SO2|Premature mortality", US_national_yearly!$D:$AM, 27, FALSE) / VLOOKUP("electricity|SO2|Premature mortality", US_national_yearly!$D:$AM, 10, FALSE), 1)</f>
        <v>8.4373112779293912E-4</v>
      </c>
      <c r="T2" s="7">
        <f>$B2 * IFERROR(VLOOKUP("electricity|SO2|Premature mortality", US_national_yearly!$D:$AM, 28, FALSE) / VLOOKUP("electricity|SO2|Premature mortality", US_national_yearly!$D:$AM, 10, FALSE), 1)</f>
        <v>8.4885403981412575E-4</v>
      </c>
      <c r="U2" s="7">
        <f>$B2 * IFERROR(VLOOKUP("electricity|SO2|Premature mortality", US_national_yearly!$D:$AM, 29, FALSE) / VLOOKUP("electricity|SO2|Premature mortality", US_national_yearly!$D:$AM, 10, FALSE), 1)</f>
        <v>8.5397695183531217E-4</v>
      </c>
      <c r="V2" s="7">
        <f>$B2 * IFERROR(VLOOKUP("electricity|SO2|Premature mortality", US_national_yearly!$D:$AM, 30, FALSE) / VLOOKUP("electricity|SO2|Premature mortality", US_national_yearly!$D:$AM, 10, FALSE), 1)</f>
        <v>8.5909986385649881E-4</v>
      </c>
      <c r="W2" s="7">
        <f>$B2 * IFERROR(VLOOKUP("electricity|SO2|Premature mortality", US_national_yearly!$D:$AM, 31, FALSE) / VLOOKUP("electricity|SO2|Premature mortality", US_national_yearly!$D:$AM, 10, FALSE), 1)</f>
        <v>8.6422277587768523E-4</v>
      </c>
      <c r="X2" s="7">
        <f>$B2 * IFERROR(VLOOKUP("electricity|SO2|Premature mortality", US_national_yearly!$D:$AM, 32, FALSE) / VLOOKUP("electricity|SO2|Premature mortality", US_national_yearly!$D:$AM, 10, FALSE), 1)</f>
        <v>8.6573221971410598E-4</v>
      </c>
      <c r="Y2" s="7">
        <f>$B2 * IFERROR(VLOOKUP("electricity|SO2|Premature mortality", US_national_yearly!$D:$AM, 33, FALSE) / VLOOKUP("electricity|SO2|Premature mortality", US_national_yearly!$D:$AM, 10, FALSE), 1)</f>
        <v>8.6724166355052663E-4</v>
      </c>
      <c r="Z2" s="7">
        <f>$B2 * IFERROR(VLOOKUP("electricity|SO2|Premature mortality", US_national_yearly!$D:$AM, 34, FALSE) / VLOOKUP("electricity|SO2|Premature mortality", US_national_yearly!$D:$AM, 10, FALSE), 1)</f>
        <v>8.6875110738694728E-4</v>
      </c>
      <c r="AA2" s="7">
        <f>$B2 * IFERROR(VLOOKUP("electricity|SO2|Premature mortality", US_national_yearly!$D:$AM, 35, FALSE) / VLOOKUP("electricity|SO2|Premature mortality", US_national_yearly!$D:$AM, 10, FALSE), 1)</f>
        <v>8.7026055122336804E-4</v>
      </c>
      <c r="AB2" s="7">
        <f>$B2 * IFERROR(VLOOKUP("electricity|SO2|Premature mortality", US_national_yearly!$D:$AM, 36, FALSE) / VLOOKUP("electricity|SO2|Premature mortality", US_national_yearly!$D:$AM, 10, FALSE), 1)</f>
        <v>8.7176999505978858E-4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3.285667630950129E-6</v>
      </c>
      <c r="C3" s="7">
        <f>$B3 * IFERROR(VLOOKUP("electricity|SO2|Infant mortality", US_national_yearly!$D:$AM, 11, FALSE) / VLOOKUP("electricity|SO2|Infant mortality", US_national_yearly!$D:$AM, 10, FALSE), 1)</f>
        <v>3.2579099867231186E-6</v>
      </c>
      <c r="D3" s="7">
        <f>$B3 * IFERROR(VLOOKUP("electricity|SO2|Infant mortality", US_national_yearly!$D:$AM, 12, FALSE) / VLOOKUP("electricity|SO2|Infant mortality", US_national_yearly!$D:$AM, 10, FALSE), 1)</f>
        <v>3.2301523424961082E-6</v>
      </c>
      <c r="E3" s="7">
        <f>$B3 * IFERROR(VLOOKUP("electricity|SO2|Infant mortality", US_national_yearly!$D:$AM, 13, FALSE) / VLOOKUP("electricity|SO2|Infant mortality", US_national_yearly!$D:$AM, 10, FALSE), 1)</f>
        <v>3.2023946982690974E-6</v>
      </c>
      <c r="F3" s="7">
        <f>$B3 * IFERROR(VLOOKUP("electricity|SO2|Infant mortality", US_national_yearly!$D:$AM, 14, FALSE) / VLOOKUP("electricity|SO2|Infant mortality", US_national_yearly!$D:$AM, 10, FALSE), 1)</f>
        <v>3.1746370540420874E-6</v>
      </c>
      <c r="G3" s="7">
        <f>$B3 * IFERROR(VLOOKUP("electricity|SO2|Infant mortality", US_national_yearly!$D:$AM, 15, FALSE) / VLOOKUP("electricity|SO2|Infant mortality", US_national_yearly!$D:$AM, 10, FALSE), 1)</f>
        <v>2.1112980911589156E-6</v>
      </c>
      <c r="H3" s="7">
        <f>$B3 * IFERROR(VLOOKUP("electricity|SO2|Infant mortality", US_national_yearly!$D:$AM, 16, FALSE) / VLOOKUP("electricity|SO2|Infant mortality", US_national_yearly!$D:$AM, 10, FALSE), 1)</f>
        <v>1.0479591282757437E-6</v>
      </c>
      <c r="I3" s="7">
        <f>$B3 * IFERROR(VLOOKUP("electricity|SO2|Infant mortality", US_national_yearly!$D:$AM, 17, FALSE) / VLOOKUP("electricity|SO2|Infant mortality", US_national_yearly!$D:$AM, 10, FALSE), 1)</f>
        <v>1.0412548300415505E-6</v>
      </c>
      <c r="J3" s="7">
        <f>$B3 * IFERROR(VLOOKUP("electricity|SO2|Infant mortality", US_national_yearly!$D:$AM, 18, FALSE) / VLOOKUP("electricity|SO2|Infant mortality", US_national_yearly!$D:$AM, 10, FALSE), 1)</f>
        <v>1.0345505318073571E-6</v>
      </c>
      <c r="K3" s="7">
        <f>$B3 * IFERROR(VLOOKUP("electricity|SO2|Infant mortality", US_national_yearly!$D:$AM, 19, FALSE) / VLOOKUP("electricity|SO2|Infant mortality", US_national_yearly!$D:$AM, 10, FALSE), 1)</f>
        <v>1.0278462335731641E-6</v>
      </c>
      <c r="L3" s="7">
        <f>$B3 * IFERROR(VLOOKUP("electricity|SO2|Infant mortality", US_national_yearly!$D:$AM, 20, FALSE) / VLOOKUP("electricity|SO2|Infant mortality", US_national_yearly!$D:$AM, 10, FALSE), 1)</f>
        <v>1.021141935338971E-6</v>
      </c>
      <c r="M3" s="7">
        <f>$B3 * IFERROR(VLOOKUP("electricity|SO2|Infant mortality", US_national_yearly!$D:$AM, 21, FALSE) / VLOOKUP("electricity|SO2|Infant mortality", US_national_yearly!$D:$AM, 10, FALSE), 1)</f>
        <v>1.0144376371047778E-6</v>
      </c>
      <c r="N3" s="7">
        <f>$B3 * IFERROR(VLOOKUP("electricity|SO2|Infant mortality", US_national_yearly!$D:$AM, 22, FALSE) / VLOOKUP("electricity|SO2|Infant mortality", US_national_yearly!$D:$AM, 10, FALSE), 1)</f>
        <v>1.0101894966558268E-6</v>
      </c>
      <c r="O3" s="7">
        <f>$B3 * IFERROR(VLOOKUP("electricity|SO2|Infant mortality", US_national_yearly!$D:$AM, 23, FALSE) / VLOOKUP("electricity|SO2|Infant mortality", US_national_yearly!$D:$AM, 10, FALSE), 1)</f>
        <v>1.0059413562068758E-6</v>
      </c>
      <c r="P3" s="7">
        <f>$B3 * IFERROR(VLOOKUP("electricity|SO2|Infant mortality", US_national_yearly!$D:$AM, 24, FALSE) / VLOOKUP("electricity|SO2|Infant mortality", US_national_yearly!$D:$AM, 10, FALSE), 1)</f>
        <v>1.0016932157579248E-6</v>
      </c>
      <c r="Q3" s="7">
        <f>$B3 * IFERROR(VLOOKUP("electricity|SO2|Infant mortality", US_national_yearly!$D:$AM, 25, FALSE) / VLOOKUP("electricity|SO2|Infant mortality", US_national_yearly!$D:$AM, 10, FALSE), 1)</f>
        <v>9.974450753089738E-7</v>
      </c>
      <c r="R3" s="7">
        <f>$B3 * IFERROR(VLOOKUP("electricity|SO2|Infant mortality", US_national_yearly!$D:$AM, 26, FALSE) / VLOOKUP("electricity|SO2|Infant mortality", US_national_yearly!$D:$AM, 10, FALSE), 1)</f>
        <v>9.9319693486002301E-7</v>
      </c>
      <c r="S3" s="7">
        <f>$B3 * IFERROR(VLOOKUP("electricity|SO2|Infant mortality", US_national_yearly!$D:$AM, 27, FALSE) / VLOOKUP("electricity|SO2|Infant mortality", US_national_yearly!$D:$AM, 10, FALSE), 1)</f>
        <v>9.8790216607575409E-7</v>
      </c>
      <c r="T3" s="7">
        <f>$B3 * IFERROR(VLOOKUP("electricity|SO2|Infant mortality", US_national_yearly!$D:$AM, 28, FALSE) / VLOOKUP("electricity|SO2|Infant mortality", US_national_yearly!$D:$AM, 10, FALSE), 1)</f>
        <v>9.8260739729148539E-7</v>
      </c>
      <c r="U3" s="7">
        <f>$B3 * IFERROR(VLOOKUP("electricity|SO2|Infant mortality", US_national_yearly!$D:$AM, 29, FALSE) / VLOOKUP("electricity|SO2|Infant mortality", US_national_yearly!$D:$AM, 10, FALSE), 1)</f>
        <v>9.7731262850721689E-7</v>
      </c>
      <c r="V3" s="7">
        <f>$B3 * IFERROR(VLOOKUP("electricity|SO2|Infant mortality", US_national_yearly!$D:$AM, 30, FALSE) / VLOOKUP("electricity|SO2|Infant mortality", US_national_yearly!$D:$AM, 10, FALSE), 1)</f>
        <v>9.7201785972294819E-7</v>
      </c>
      <c r="W3" s="7">
        <f>$B3 * IFERROR(VLOOKUP("electricity|SO2|Infant mortality", US_national_yearly!$D:$AM, 31, FALSE) / VLOOKUP("electricity|SO2|Infant mortality", US_national_yearly!$D:$AM, 10, FALSE), 1)</f>
        <v>9.6672309093867927E-7</v>
      </c>
      <c r="X3" s="7">
        <f>$B3 * IFERROR(VLOOKUP("electricity|SO2|Infant mortality", US_national_yearly!$D:$AM, 32, FALSE) / VLOOKUP("electricity|SO2|Infant mortality", US_national_yearly!$D:$AM, 10, FALSE), 1)</f>
        <v>9.6107372769743389E-7</v>
      </c>
      <c r="Y3" s="7">
        <f>$B3 * IFERROR(VLOOKUP("electricity|SO2|Infant mortality", US_national_yearly!$D:$AM, 33, FALSE) / VLOOKUP("electricity|SO2|Infant mortality", US_national_yearly!$D:$AM, 10, FALSE), 1)</f>
        <v>9.5542436445618787E-7</v>
      </c>
      <c r="Z3" s="7">
        <f>$B3 * IFERROR(VLOOKUP("electricity|SO2|Infant mortality", US_national_yearly!$D:$AM, 34, FALSE) / VLOOKUP("electricity|SO2|Infant mortality", US_national_yearly!$D:$AM, 10, FALSE), 1)</f>
        <v>9.4977500121494239E-7</v>
      </c>
      <c r="AA3" s="7">
        <f>$B3 * IFERROR(VLOOKUP("electricity|SO2|Infant mortality", US_national_yearly!$D:$AM, 35, FALSE) / VLOOKUP("electricity|SO2|Infant mortality", US_national_yearly!$D:$AM, 10, FALSE), 1)</f>
        <v>9.441256379736968E-7</v>
      </c>
      <c r="AB3" s="7">
        <f>$B3 * IFERROR(VLOOKUP("electricity|SO2|Infant mortality", US_national_yearly!$D:$AM, 36, FALSE) / VLOOKUP("electricity|SO2|Infant mortality", US_national_yearly!$D:$AM, 10, FALSE), 1)</f>
        <v>9.384762747324511E-7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3.5652295945540402E-3</v>
      </c>
      <c r="C6" s="7">
        <f>$B6 * IFERROR(VLOOKUP("electricity|SO2|Asthma symptoms cough", US_national_yearly!$D:$AM, 11, FALSE) / VLOOKUP("electricity|SO2|Asthma symptoms cough", US_national_yearly!$D:$AM, 10, FALSE), 1)</f>
        <v>3.5652295945540402E-3</v>
      </c>
      <c r="D6" s="7">
        <f>$B6 * IFERROR(VLOOKUP("electricity|SO2|Asthma symptoms cough", US_national_yearly!$D:$AM, 12, FALSE) / VLOOKUP("electricity|SO2|Asthma symptoms cough", US_national_yearly!$D:$AM, 10, FALSE), 1)</f>
        <v>3.5652295945540402E-3</v>
      </c>
      <c r="E6" s="7">
        <f>$B6 * IFERROR(VLOOKUP("electricity|SO2|Asthma symptoms cough", US_national_yearly!$D:$AM, 13, FALSE) / VLOOKUP("electricity|SO2|Asthma symptoms cough", US_national_yearly!$D:$AM, 10, FALSE), 1)</f>
        <v>3.5652295945540402E-3</v>
      </c>
      <c r="F6" s="7">
        <f>$B6 * IFERROR(VLOOKUP("electricity|SO2|Asthma symptoms cough", US_national_yearly!$D:$AM, 14, FALSE) / VLOOKUP("electricity|SO2|Asthma symptoms cough", US_national_yearly!$D:$AM, 10, FALSE), 1)</f>
        <v>3.5652295945540402E-3</v>
      </c>
      <c r="G6" s="7">
        <f>$B6 * IFERROR(VLOOKUP("electricity|SO2|Asthma symptoms cough", US_national_yearly!$D:$AM, 15, FALSE) / VLOOKUP("electricity|SO2|Asthma symptoms cough", US_national_yearly!$D:$AM, 10, FALSE), 1)</f>
        <v>3.5652295945540402E-3</v>
      </c>
      <c r="H6" s="7">
        <f>$B6 * IFERROR(VLOOKUP("electricity|SO2|Asthma symptoms cough", US_national_yearly!$D:$AM, 16, FALSE) / VLOOKUP("electricity|SO2|Asthma symptoms cough", US_national_yearly!$D:$AM, 10, FALSE), 1)</f>
        <v>3.5652295945540402E-3</v>
      </c>
      <c r="I6" s="7">
        <f>$B6 * IFERROR(VLOOKUP("electricity|SO2|Asthma symptoms cough", US_national_yearly!$D:$AM, 17, FALSE) / VLOOKUP("electricity|SO2|Asthma symptoms cough", US_national_yearly!$D:$AM, 10, FALSE), 1)</f>
        <v>3.5652295945540402E-3</v>
      </c>
      <c r="J6" s="7">
        <f>$B6 * IFERROR(VLOOKUP("electricity|SO2|Asthma symptoms cough", US_national_yearly!$D:$AM, 18, FALSE) / VLOOKUP("electricity|SO2|Asthma symptoms cough", US_national_yearly!$D:$AM, 10, FALSE), 1)</f>
        <v>3.5652295945540402E-3</v>
      </c>
      <c r="K6" s="7">
        <f>$B6 * IFERROR(VLOOKUP("electricity|SO2|Asthma symptoms cough", US_national_yearly!$D:$AM, 19, FALSE) / VLOOKUP("electricity|SO2|Asthma symptoms cough", US_national_yearly!$D:$AM, 10, FALSE), 1)</f>
        <v>3.5652295945540402E-3</v>
      </c>
      <c r="L6" s="7">
        <f>$B6 * IFERROR(VLOOKUP("electricity|SO2|Asthma symptoms cough", US_national_yearly!$D:$AM, 20, FALSE) / VLOOKUP("electricity|SO2|Asthma symptoms cough", US_national_yearly!$D:$AM, 10, FALSE), 1)</f>
        <v>3.5652295945540402E-3</v>
      </c>
      <c r="M6" s="7">
        <f>$B6 * IFERROR(VLOOKUP("electricity|SO2|Asthma symptoms cough", US_national_yearly!$D:$AM, 21, FALSE) / VLOOKUP("electricity|SO2|Asthma symptoms cough", US_national_yearly!$D:$AM, 10, FALSE), 1)</f>
        <v>3.5652295945540402E-3</v>
      </c>
      <c r="N6" s="7">
        <f>$B6 * IFERROR(VLOOKUP("electricity|SO2|Asthma symptoms cough", US_national_yearly!$D:$AM, 22, FALSE) / VLOOKUP("electricity|SO2|Asthma symptoms cough", US_national_yearly!$D:$AM, 10, FALSE), 1)</f>
        <v>3.5652295945540402E-3</v>
      </c>
      <c r="O6" s="7">
        <f>$B6 * IFERROR(VLOOKUP("electricity|SO2|Asthma symptoms cough", US_national_yearly!$D:$AM, 23, FALSE) / VLOOKUP("electricity|SO2|Asthma symptoms cough", US_national_yearly!$D:$AM, 10, FALSE), 1)</f>
        <v>3.5652295945540402E-3</v>
      </c>
      <c r="P6" s="7">
        <f>$B6 * IFERROR(VLOOKUP("electricity|SO2|Asthma symptoms cough", US_national_yearly!$D:$AM, 24, FALSE) / VLOOKUP("electricity|SO2|Asthma symptoms cough", US_national_yearly!$D:$AM, 10, FALSE), 1)</f>
        <v>3.5652295945540402E-3</v>
      </c>
      <c r="Q6" s="7">
        <f>$B6 * IFERROR(VLOOKUP("electricity|SO2|Asthma symptoms cough", US_national_yearly!$D:$AM, 25, FALSE) / VLOOKUP("electricity|SO2|Asthma symptoms cough", US_national_yearly!$D:$AM, 10, FALSE), 1)</f>
        <v>3.5652295945540402E-3</v>
      </c>
      <c r="R6" s="7">
        <f>$B6 * IFERROR(VLOOKUP("electricity|SO2|Asthma symptoms cough", US_national_yearly!$D:$AM, 26, FALSE) / VLOOKUP("electricity|SO2|Asthma symptoms cough", US_national_yearly!$D:$AM, 10, FALSE), 1)</f>
        <v>3.5652295945540402E-3</v>
      </c>
      <c r="S6" s="7">
        <f>$B6 * IFERROR(VLOOKUP("electricity|SO2|Asthma symptoms cough", US_national_yearly!$D:$AM, 27, FALSE) / VLOOKUP("electricity|SO2|Asthma symptoms cough", US_national_yearly!$D:$AM, 10, FALSE), 1)</f>
        <v>3.5652295945540402E-3</v>
      </c>
      <c r="T6" s="7">
        <f>$B6 * IFERROR(VLOOKUP("electricity|SO2|Asthma symptoms cough", US_national_yearly!$D:$AM, 28, FALSE) / VLOOKUP("electricity|SO2|Asthma symptoms cough", US_national_yearly!$D:$AM, 10, FALSE), 1)</f>
        <v>3.5652295945540402E-3</v>
      </c>
      <c r="U6" s="7">
        <f>$B6 * IFERROR(VLOOKUP("electricity|SO2|Asthma symptoms cough", US_national_yearly!$D:$AM, 29, FALSE) / VLOOKUP("electricity|SO2|Asthma symptoms cough", US_national_yearly!$D:$AM, 10, FALSE), 1)</f>
        <v>3.5652295945540402E-3</v>
      </c>
      <c r="V6" s="7">
        <f>$B6 * IFERROR(VLOOKUP("electricity|SO2|Asthma symptoms cough", US_national_yearly!$D:$AM, 30, FALSE) / VLOOKUP("electricity|SO2|Asthma symptoms cough", US_national_yearly!$D:$AM, 10, FALSE), 1)</f>
        <v>3.5652295945540402E-3</v>
      </c>
      <c r="W6" s="7">
        <f>$B6 * IFERROR(VLOOKUP("electricity|SO2|Asthma symptoms cough", US_national_yearly!$D:$AM, 31, FALSE) / VLOOKUP("electricity|SO2|Asthma symptoms cough", US_national_yearly!$D:$AM, 10, FALSE), 1)</f>
        <v>3.5652295945540402E-3</v>
      </c>
      <c r="X6" s="7">
        <f>$B6 * IFERROR(VLOOKUP("electricity|SO2|Asthma symptoms cough", US_national_yearly!$D:$AM, 32, FALSE) / VLOOKUP("electricity|SO2|Asthma symptoms cough", US_national_yearly!$D:$AM, 10, FALSE), 1)</f>
        <v>3.5652295945540402E-3</v>
      </c>
      <c r="Y6" s="7">
        <f>$B6 * IFERROR(VLOOKUP("electricity|SO2|Asthma symptoms cough", US_national_yearly!$D:$AM, 33, FALSE) / VLOOKUP("electricity|SO2|Asthma symptoms cough", US_national_yearly!$D:$AM, 10, FALSE), 1)</f>
        <v>3.5652295945540402E-3</v>
      </c>
      <c r="Z6" s="7">
        <f>$B6 * IFERROR(VLOOKUP("electricity|SO2|Asthma symptoms cough", US_national_yearly!$D:$AM, 34, FALSE) / VLOOKUP("electricity|SO2|Asthma symptoms cough", US_national_yearly!$D:$AM, 10, FALSE), 1)</f>
        <v>3.5652295945540402E-3</v>
      </c>
      <c r="AA6" s="7">
        <f>$B6 * IFERROR(VLOOKUP("electricity|SO2|Asthma symptoms cough", US_national_yearly!$D:$AM, 35, FALSE) / VLOOKUP("electricity|SO2|Asthma symptoms cough", US_national_yearly!$D:$AM, 10, FALSE), 1)</f>
        <v>3.5652295945540402E-3</v>
      </c>
      <c r="AB6" s="7">
        <f>$B6 * IFERROR(VLOOKUP("electricity|SO2|Asthma symptoms cough", US_national_yearly!$D:$AM, 36, FALSE) / VLOOKUP("electricity|SO2|Asthma symptoms cough", US_national_yearly!$D:$AM, 10, FALSE), 1)</f>
        <v>3.5652295945540402E-3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4.8010832843013405E-3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4.8010832843013405E-3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4.8010832843013405E-3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4.8010832843013405E-3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4.8010832843013405E-3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4.8010832843013405E-3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4.8010832843013405E-3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4.8010832843013405E-3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4.8010832843013405E-3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4.8010832843013405E-3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4.8010832843013405E-3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4.8010832843013405E-3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4.8010832843013405E-3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4.8010832843013405E-3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4.8010832843013405E-3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4.8010832843013405E-3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4.8010832843013405E-3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4.8010832843013405E-3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4.8010832843013405E-3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4.8010832843013405E-3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4.8010832843013405E-3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4.8010832843013405E-3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4.8010832843013405E-3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4.8010832843013405E-3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4.8010832843013405E-3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4.8010832843013405E-3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4.8010832843013405E-3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7.3352975709709963E-3</v>
      </c>
      <c r="C8" s="7">
        <f>$B8 * IFERROR(VLOOKUP("electricity|SO2|Asthma symptoms wheeze", US_national_yearly!$D:$AM, 11, FALSE) / VLOOKUP("electricity|SO2|Asthma symptoms wheeze", US_national_yearly!$D:$AM, 10, FALSE), 1)</f>
        <v>7.3352975709709963E-3</v>
      </c>
      <c r="D8" s="7">
        <f>$B8 * IFERROR(VLOOKUP("electricity|SO2|Asthma symptoms wheeze", US_national_yearly!$D:$AM, 12, FALSE) / VLOOKUP("electricity|SO2|Asthma symptoms wheeze", US_national_yearly!$D:$AM, 10, FALSE), 1)</f>
        <v>7.3352975709709963E-3</v>
      </c>
      <c r="E8" s="7">
        <f>$B8 * IFERROR(VLOOKUP("electricity|SO2|Asthma symptoms wheeze", US_national_yearly!$D:$AM, 13, FALSE) / VLOOKUP("electricity|SO2|Asthma symptoms wheeze", US_national_yearly!$D:$AM, 10, FALSE), 1)</f>
        <v>7.3352975709709963E-3</v>
      </c>
      <c r="F8" s="7">
        <f>$B8 * IFERROR(VLOOKUP("electricity|SO2|Asthma symptoms wheeze", US_national_yearly!$D:$AM, 14, FALSE) / VLOOKUP("electricity|SO2|Asthma symptoms wheeze", US_national_yearly!$D:$AM, 10, FALSE), 1)</f>
        <v>7.3352975709709963E-3</v>
      </c>
      <c r="G8" s="7">
        <f>$B8 * IFERROR(VLOOKUP("electricity|SO2|Asthma symptoms wheeze", US_national_yearly!$D:$AM, 15, FALSE) / VLOOKUP("electricity|SO2|Asthma symptoms wheeze", US_national_yearly!$D:$AM, 10, FALSE), 1)</f>
        <v>7.3352975709709963E-3</v>
      </c>
      <c r="H8" s="7">
        <f>$B8 * IFERROR(VLOOKUP("electricity|SO2|Asthma symptoms wheeze", US_national_yearly!$D:$AM, 16, FALSE) / VLOOKUP("electricity|SO2|Asthma symptoms wheeze", US_national_yearly!$D:$AM, 10, FALSE), 1)</f>
        <v>7.3352975709709963E-3</v>
      </c>
      <c r="I8" s="7">
        <f>$B8 * IFERROR(VLOOKUP("electricity|SO2|Asthma symptoms wheeze", US_national_yearly!$D:$AM, 17, FALSE) / VLOOKUP("electricity|SO2|Asthma symptoms wheeze", US_national_yearly!$D:$AM, 10, FALSE), 1)</f>
        <v>7.3352975709709963E-3</v>
      </c>
      <c r="J8" s="7">
        <f>$B8 * IFERROR(VLOOKUP("electricity|SO2|Asthma symptoms wheeze", US_national_yearly!$D:$AM, 18, FALSE) / VLOOKUP("electricity|SO2|Asthma symptoms wheeze", US_national_yearly!$D:$AM, 10, FALSE), 1)</f>
        <v>7.3352975709709963E-3</v>
      </c>
      <c r="K8" s="7">
        <f>$B8 * IFERROR(VLOOKUP("electricity|SO2|Asthma symptoms wheeze", US_national_yearly!$D:$AM, 19, FALSE) / VLOOKUP("electricity|SO2|Asthma symptoms wheeze", US_national_yearly!$D:$AM, 10, FALSE), 1)</f>
        <v>7.3352975709709963E-3</v>
      </c>
      <c r="L8" s="7">
        <f>$B8 * IFERROR(VLOOKUP("electricity|SO2|Asthma symptoms wheeze", US_national_yearly!$D:$AM, 20, FALSE) / VLOOKUP("electricity|SO2|Asthma symptoms wheeze", US_national_yearly!$D:$AM, 10, FALSE), 1)</f>
        <v>7.3352975709709963E-3</v>
      </c>
      <c r="M8" s="7">
        <f>$B8 * IFERROR(VLOOKUP("electricity|SO2|Asthma symptoms wheeze", US_national_yearly!$D:$AM, 21, FALSE) / VLOOKUP("electricity|SO2|Asthma symptoms wheeze", US_national_yearly!$D:$AM, 10, FALSE), 1)</f>
        <v>7.3352975709709963E-3</v>
      </c>
      <c r="N8" s="7">
        <f>$B8 * IFERROR(VLOOKUP("electricity|SO2|Asthma symptoms wheeze", US_national_yearly!$D:$AM, 22, FALSE) / VLOOKUP("electricity|SO2|Asthma symptoms wheeze", US_national_yearly!$D:$AM, 10, FALSE), 1)</f>
        <v>7.3352975709709963E-3</v>
      </c>
      <c r="O8" s="7">
        <f>$B8 * IFERROR(VLOOKUP("electricity|SO2|Asthma symptoms wheeze", US_national_yearly!$D:$AM, 23, FALSE) / VLOOKUP("electricity|SO2|Asthma symptoms wheeze", US_national_yearly!$D:$AM, 10, FALSE), 1)</f>
        <v>7.3352975709709963E-3</v>
      </c>
      <c r="P8" s="7">
        <f>$B8 * IFERROR(VLOOKUP("electricity|SO2|Asthma symptoms wheeze", US_national_yearly!$D:$AM, 24, FALSE) / VLOOKUP("electricity|SO2|Asthma symptoms wheeze", US_national_yearly!$D:$AM, 10, FALSE), 1)</f>
        <v>7.3352975709709963E-3</v>
      </c>
      <c r="Q8" s="7">
        <f>$B8 * IFERROR(VLOOKUP("electricity|SO2|Asthma symptoms wheeze", US_national_yearly!$D:$AM, 25, FALSE) / VLOOKUP("electricity|SO2|Asthma symptoms wheeze", US_national_yearly!$D:$AM, 10, FALSE), 1)</f>
        <v>7.3352975709709963E-3</v>
      </c>
      <c r="R8" s="7">
        <f>$B8 * IFERROR(VLOOKUP("electricity|SO2|Asthma symptoms wheeze", US_national_yearly!$D:$AM, 26, FALSE) / VLOOKUP("electricity|SO2|Asthma symptoms wheeze", US_national_yearly!$D:$AM, 10, FALSE), 1)</f>
        <v>7.3352975709709963E-3</v>
      </c>
      <c r="S8" s="7">
        <f>$B8 * IFERROR(VLOOKUP("electricity|SO2|Asthma symptoms wheeze", US_national_yearly!$D:$AM, 27, FALSE) / VLOOKUP("electricity|SO2|Asthma symptoms wheeze", US_national_yearly!$D:$AM, 10, FALSE), 1)</f>
        <v>7.3352975709709963E-3</v>
      </c>
      <c r="T8" s="7">
        <f>$B8 * IFERROR(VLOOKUP("electricity|SO2|Asthma symptoms wheeze", US_national_yearly!$D:$AM, 28, FALSE) / VLOOKUP("electricity|SO2|Asthma symptoms wheeze", US_national_yearly!$D:$AM, 10, FALSE), 1)</f>
        <v>7.3352975709709963E-3</v>
      </c>
      <c r="U8" s="7">
        <f>$B8 * IFERROR(VLOOKUP("electricity|SO2|Asthma symptoms wheeze", US_national_yearly!$D:$AM, 29, FALSE) / VLOOKUP("electricity|SO2|Asthma symptoms wheeze", US_national_yearly!$D:$AM, 10, FALSE), 1)</f>
        <v>7.3352975709709963E-3</v>
      </c>
      <c r="V8" s="7">
        <f>$B8 * IFERROR(VLOOKUP("electricity|SO2|Asthma symptoms wheeze", US_national_yearly!$D:$AM, 30, FALSE) / VLOOKUP("electricity|SO2|Asthma symptoms wheeze", US_national_yearly!$D:$AM, 10, FALSE), 1)</f>
        <v>7.3352975709709963E-3</v>
      </c>
      <c r="W8" s="7">
        <f>$B8 * IFERROR(VLOOKUP("electricity|SO2|Asthma symptoms wheeze", US_national_yearly!$D:$AM, 31, FALSE) / VLOOKUP("electricity|SO2|Asthma symptoms wheeze", US_national_yearly!$D:$AM, 10, FALSE), 1)</f>
        <v>7.3352975709709963E-3</v>
      </c>
      <c r="X8" s="7">
        <f>$B8 * IFERROR(VLOOKUP("electricity|SO2|Asthma symptoms wheeze", US_national_yearly!$D:$AM, 32, FALSE) / VLOOKUP("electricity|SO2|Asthma symptoms wheeze", US_national_yearly!$D:$AM, 10, FALSE), 1)</f>
        <v>7.3352975709709963E-3</v>
      </c>
      <c r="Y8" s="7">
        <f>$B8 * IFERROR(VLOOKUP("electricity|SO2|Asthma symptoms wheeze", US_national_yearly!$D:$AM, 33, FALSE) / VLOOKUP("electricity|SO2|Asthma symptoms wheeze", US_national_yearly!$D:$AM, 10, FALSE), 1)</f>
        <v>7.3352975709709963E-3</v>
      </c>
      <c r="Z8" s="7">
        <f>$B8 * IFERROR(VLOOKUP("electricity|SO2|Asthma symptoms wheeze", US_national_yearly!$D:$AM, 34, FALSE) / VLOOKUP("electricity|SO2|Asthma symptoms wheeze", US_national_yearly!$D:$AM, 10, FALSE), 1)</f>
        <v>7.3352975709709963E-3</v>
      </c>
      <c r="AA8" s="7">
        <f>$B8 * IFERROR(VLOOKUP("electricity|SO2|Asthma symptoms wheeze", US_national_yearly!$D:$AM, 35, FALSE) / VLOOKUP("electricity|SO2|Asthma symptoms wheeze", US_national_yearly!$D:$AM, 10, FALSE), 1)</f>
        <v>7.3352975709709963E-3</v>
      </c>
      <c r="AB8" s="7">
        <f>$B8 * IFERROR(VLOOKUP("electricity|SO2|Asthma symptoms wheeze", US_national_yearly!$D:$AM, 36, FALSE) / VLOOKUP("electricity|SO2|Asthma symptoms wheeze", US_national_yearly!$D:$AM, 10, FALSE), 1)</f>
        <v>7.3352975709709963E-3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4.0894401395347318E-5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4.1135254326150023E-5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4.1376107256952734E-5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4.1616960187755439E-5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4.1857813118558151E-5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4.2120269488672605E-5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4.2382725858787066E-5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4.2635212722430885E-5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4.2887699586074703E-5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4.3140186449718529E-5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4.3392673313362348E-5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4.3645160177006173E-5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4.3826259006353925E-5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4.4007357835701683E-5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4.4188456665049435E-5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4.4369555494397187E-5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4.4550654323744945E-5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4.4721584961052396E-5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4.4892515598359861E-5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4.5063446235667313E-5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4.5234376872974777E-5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4.5405307510282236E-5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4.5569285875670572E-5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4.5733264241058929E-5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4.5897242606447286E-5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4.6061220971835622E-5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4.6225199337223979E-5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2.655617119902043E-4</v>
      </c>
      <c r="C13" s="7">
        <f>$B13 * IFERROR(VLOOKUP("electricity|SO2|Non-fatal heart attacks", US_national_yearly!$D:$AM, 11, FALSE) / VLOOKUP("electricity|SO2|Non-fatal heart attacks", US_national_yearly!$D:$AM, 10, FALSE), 1)</f>
        <v>2.733839834588721E-4</v>
      </c>
      <c r="D13" s="7">
        <f>$B13 * IFERROR(VLOOKUP("electricity|SO2|Non-fatal heart attacks", US_national_yearly!$D:$AM, 12, FALSE) / VLOOKUP("electricity|SO2|Non-fatal heart attacks", US_national_yearly!$D:$AM, 10, FALSE), 1)</f>
        <v>2.8120625492753979E-4</v>
      </c>
      <c r="E13" s="7">
        <f>$B13 * IFERROR(VLOOKUP("electricity|SO2|Non-fatal heart attacks", US_national_yearly!$D:$AM, 13, FALSE) / VLOOKUP("electricity|SO2|Non-fatal heart attacks", US_national_yearly!$D:$AM, 10, FALSE), 1)</f>
        <v>2.8902852639620759E-4</v>
      </c>
      <c r="F13" s="7">
        <f>$B13 * IFERROR(VLOOKUP("electricity|SO2|Non-fatal heart attacks", US_national_yearly!$D:$AM, 14, FALSE) / VLOOKUP("electricity|SO2|Non-fatal heart attacks", US_national_yearly!$D:$AM, 10, FALSE), 1)</f>
        <v>2.9685079786487533E-4</v>
      </c>
      <c r="G13" s="7">
        <f>$B13 * IFERROR(VLOOKUP("electricity|SO2|Non-fatal heart attacks", US_national_yearly!$D:$AM, 15, FALSE) / VLOOKUP("electricity|SO2|Non-fatal heart attacks", US_national_yearly!$D:$AM, 10, FALSE), 1)</f>
        <v>3.0427436818074999E-4</v>
      </c>
      <c r="H13" s="7">
        <f>$B13 * IFERROR(VLOOKUP("electricity|SO2|Non-fatal heart attacks", US_national_yearly!$D:$AM, 16, FALSE) / VLOOKUP("electricity|SO2|Non-fatal heart attacks", US_national_yearly!$D:$AM, 10, FALSE), 1)</f>
        <v>3.1169793849662475E-4</v>
      </c>
      <c r="I13" s="7">
        <f>$B13 * IFERROR(VLOOKUP("electricity|SO2|Non-fatal heart attacks", US_national_yearly!$D:$AM, 17, FALSE) / VLOOKUP("electricity|SO2|Non-fatal heart attacks", US_national_yearly!$D:$AM, 10, FALSE), 1)</f>
        <v>3.1774358680388987E-4</v>
      </c>
      <c r="J13" s="7">
        <f>$B13 * IFERROR(VLOOKUP("electricity|SO2|Non-fatal heart attacks", US_national_yearly!$D:$AM, 18, FALSE) / VLOOKUP("electricity|SO2|Non-fatal heart attacks", US_national_yearly!$D:$AM, 10, FALSE), 1)</f>
        <v>3.2378923511115488E-4</v>
      </c>
      <c r="K13" s="7">
        <f>$B13 * IFERROR(VLOOKUP("electricity|SO2|Non-fatal heart attacks", US_national_yearly!$D:$AM, 19, FALSE) / VLOOKUP("electricity|SO2|Non-fatal heart attacks", US_national_yearly!$D:$AM, 10, FALSE), 1)</f>
        <v>3.2983488341841995E-4</v>
      </c>
      <c r="L13" s="7">
        <f>$B13 * IFERROR(VLOOKUP("electricity|SO2|Non-fatal heart attacks", US_national_yearly!$D:$AM, 20, FALSE) / VLOOKUP("electricity|SO2|Non-fatal heart attacks", US_national_yearly!$D:$AM, 10, FALSE), 1)</f>
        <v>3.3588053172568501E-4</v>
      </c>
      <c r="M13" s="7">
        <f>$B13 * IFERROR(VLOOKUP("electricity|SO2|Non-fatal heart attacks", US_national_yearly!$D:$AM, 21, FALSE) / VLOOKUP("electricity|SO2|Non-fatal heart attacks", US_national_yearly!$D:$AM, 10, FALSE), 1)</f>
        <v>3.4192618003295007E-4</v>
      </c>
      <c r="N13" s="7">
        <f>$B13 * IFERROR(VLOOKUP("electricity|SO2|Non-fatal heart attacks", US_national_yearly!$D:$AM, 22, FALSE) / VLOOKUP("electricity|SO2|Non-fatal heart attacks", US_national_yearly!$D:$AM, 10, FALSE), 1)</f>
        <v>3.4591300047186104E-4</v>
      </c>
      <c r="O13" s="7">
        <f>$B13 * IFERROR(VLOOKUP("electricity|SO2|Non-fatal heart attacks", US_national_yearly!$D:$AM, 23, FALSE) / VLOOKUP("electricity|SO2|Non-fatal heart attacks", US_national_yearly!$D:$AM, 10, FALSE), 1)</f>
        <v>3.498998209107719E-4</v>
      </c>
      <c r="P13" s="7">
        <f>$B13 * IFERROR(VLOOKUP("electricity|SO2|Non-fatal heart attacks", US_national_yearly!$D:$AM, 24, FALSE) / VLOOKUP("electricity|SO2|Non-fatal heart attacks", US_national_yearly!$D:$AM, 10, FALSE), 1)</f>
        <v>3.5388664134968287E-4</v>
      </c>
      <c r="Q13" s="7">
        <f>$B13 * IFERROR(VLOOKUP("electricity|SO2|Non-fatal heart attacks", US_national_yearly!$D:$AM, 25, FALSE) / VLOOKUP("electricity|SO2|Non-fatal heart attacks", US_national_yearly!$D:$AM, 10, FALSE), 1)</f>
        <v>3.5787346178859378E-4</v>
      </c>
      <c r="R13" s="7">
        <f>$B13 * IFERROR(VLOOKUP("electricity|SO2|Non-fatal heart attacks", US_national_yearly!$D:$AM, 26, FALSE) / VLOOKUP("electricity|SO2|Non-fatal heart attacks", US_national_yearly!$D:$AM, 10, FALSE), 1)</f>
        <v>3.6186028222750475E-4</v>
      </c>
      <c r="S13" s="7">
        <f>$B13 * IFERROR(VLOOKUP("electricity|SO2|Non-fatal heart attacks", US_national_yearly!$D:$AM, 27, FALSE) / VLOOKUP("electricity|SO2|Non-fatal heart attacks", US_national_yearly!$D:$AM, 10, FALSE), 1)</f>
        <v>3.6402981503589412E-4</v>
      </c>
      <c r="T13" s="7">
        <f>$B13 * IFERROR(VLOOKUP("electricity|SO2|Non-fatal heart attacks", US_national_yearly!$D:$AM, 28, FALSE) / VLOOKUP("electricity|SO2|Non-fatal heart attacks", US_national_yearly!$D:$AM, 10, FALSE), 1)</f>
        <v>3.6619934784428354E-4</v>
      </c>
      <c r="U13" s="7">
        <f>$B13 * IFERROR(VLOOKUP("electricity|SO2|Non-fatal heart attacks", US_national_yearly!$D:$AM, 29, FALSE) / VLOOKUP("electricity|SO2|Non-fatal heart attacks", US_national_yearly!$D:$AM, 10, FALSE), 1)</f>
        <v>3.6836888065267296E-4</v>
      </c>
      <c r="V13" s="7">
        <f>$B13 * IFERROR(VLOOKUP("electricity|SO2|Non-fatal heart attacks", US_national_yearly!$D:$AM, 30, FALSE) / VLOOKUP("electricity|SO2|Non-fatal heart attacks", US_national_yearly!$D:$AM, 10, FALSE), 1)</f>
        <v>3.7053841346106222E-4</v>
      </c>
      <c r="W13" s="7">
        <f>$B13 * IFERROR(VLOOKUP("electricity|SO2|Non-fatal heart attacks", US_national_yearly!$D:$AM, 31, FALSE) / VLOOKUP("electricity|SO2|Non-fatal heart attacks", US_national_yearly!$D:$AM, 10, FALSE), 1)</f>
        <v>3.7270794626945164E-4</v>
      </c>
      <c r="X13" s="7">
        <f>$B13 * IFERROR(VLOOKUP("electricity|SO2|Non-fatal heart attacks", US_national_yearly!$D:$AM, 32, FALSE) / VLOOKUP("electricity|SO2|Non-fatal heart attacks", US_national_yearly!$D:$AM, 10, FALSE), 1)</f>
        <v>3.7437450966094357E-4</v>
      </c>
      <c r="Y13" s="7">
        <f>$B13 * IFERROR(VLOOKUP("electricity|SO2|Non-fatal heart attacks", US_national_yearly!$D:$AM, 33, FALSE) / VLOOKUP("electricity|SO2|Non-fatal heart attacks", US_national_yearly!$D:$AM, 10, FALSE), 1)</f>
        <v>3.7604107305243549E-4</v>
      </c>
      <c r="Z13" s="7">
        <f>$B13 * IFERROR(VLOOKUP("electricity|SO2|Non-fatal heart attacks", US_national_yearly!$D:$AM, 34, FALSE) / VLOOKUP("electricity|SO2|Non-fatal heart attacks", US_national_yearly!$D:$AM, 10, FALSE), 1)</f>
        <v>3.7770763644392737E-4</v>
      </c>
      <c r="AA13" s="7">
        <f>$B13 * IFERROR(VLOOKUP("electricity|SO2|Non-fatal heart attacks", US_national_yearly!$D:$AM, 35, FALSE) / VLOOKUP("electricity|SO2|Non-fatal heart attacks", US_national_yearly!$D:$AM, 10, FALSE), 1)</f>
        <v>3.7937419983541929E-4</v>
      </c>
      <c r="AB13" s="7">
        <f>$B13 * IFERROR(VLOOKUP("electricity|SO2|Non-fatal heart attacks", US_national_yearly!$D:$AM, 36, FALSE) / VLOOKUP("electricity|SO2|Non-fatal heart attacks", US_national_yearly!$D:$AM, 10, FALSE), 1)</f>
        <v>3.8104076322691122E-4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0.32778623241253851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0.32860994353412964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0.32943365465572078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0.33025736577731196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0.33108107689890304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0.33227116138863955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0.33346124587837611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0.33550233240429023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0.3375434189302044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0.33958450545611851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0.34162559198203274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0.34366667850794685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0.34647754948386184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0.34928842045977671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0.35209929143569157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0.35491016241160656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0.35772103338752143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0.36060261929582305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0.36348420520412461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0.36636579111242618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0.3692473770207278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0.37212896292902936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0.37466444271389371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0.37719992249875794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0.37973540228362218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0.38227088206848653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0.38480636185335076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5.6116902538223212E-2</v>
      </c>
      <c r="C15" s="7">
        <f>$B15 * IFERROR(VLOOKUP("electricity|SO2|Work loss days", US_national_yearly!$D:$AM, 11, FALSE) / VLOOKUP("electricity|SO2|Work loss days", US_national_yearly!$D:$AM, 10, FALSE), 1)</f>
        <v>5.6298610765795114E-2</v>
      </c>
      <c r="D15" s="7">
        <f>$B15 * IFERROR(VLOOKUP("electricity|SO2|Work loss days", US_national_yearly!$D:$AM, 12, FALSE) / VLOOKUP("electricity|SO2|Work loss days", US_national_yearly!$D:$AM, 10, FALSE), 1)</f>
        <v>5.6480318993367022E-2</v>
      </c>
      <c r="E15" s="7">
        <f>$B15 * IFERROR(VLOOKUP("electricity|SO2|Work loss days", US_national_yearly!$D:$AM, 13, FALSE) / VLOOKUP("electricity|SO2|Work loss days", US_national_yearly!$D:$AM, 10, FALSE), 1)</f>
        <v>5.6662027220938938E-2</v>
      </c>
      <c r="F15" s="7">
        <f>$B15 * IFERROR(VLOOKUP("electricity|SO2|Work loss days", US_national_yearly!$D:$AM, 14, FALSE) / VLOOKUP("electricity|SO2|Work loss days", US_national_yearly!$D:$AM, 10, FALSE), 1)</f>
        <v>5.6843735448510846E-2</v>
      </c>
      <c r="G15" s="7">
        <f>$B15 * IFERROR(VLOOKUP("electricity|SO2|Work loss days", US_national_yearly!$D:$AM, 15, FALSE) / VLOOKUP("electricity|SO2|Work loss days", US_national_yearly!$D:$AM, 10, FALSE), 1)</f>
        <v>5.7076514947389703E-2</v>
      </c>
      <c r="H15" s="7">
        <f>$B15 * IFERROR(VLOOKUP("electricity|SO2|Work loss days", US_national_yearly!$D:$AM, 16, FALSE) / VLOOKUP("electricity|SO2|Work loss days", US_national_yearly!$D:$AM, 10, FALSE), 1)</f>
        <v>5.7309294446268567E-2</v>
      </c>
      <c r="I15" s="7">
        <f>$B15 * IFERROR(VLOOKUP("electricity|SO2|Work loss days", US_national_yearly!$D:$AM, 17, FALSE) / VLOOKUP("electricity|SO2|Work loss days", US_national_yearly!$D:$AM, 10, FALSE), 1)</f>
        <v>5.7649878234761712E-2</v>
      </c>
      <c r="J15" s="7">
        <f>$B15 * IFERROR(VLOOKUP("electricity|SO2|Work loss days", US_national_yearly!$D:$AM, 18, FALSE) / VLOOKUP("electricity|SO2|Work loss days", US_national_yearly!$D:$AM, 10, FALSE), 1)</f>
        <v>5.7990462023254849E-2</v>
      </c>
      <c r="K15" s="7">
        <f>$B15 * IFERROR(VLOOKUP("electricity|SO2|Work loss days", US_national_yearly!$D:$AM, 19, FALSE) / VLOOKUP("electricity|SO2|Work loss days", US_national_yearly!$D:$AM, 10, FALSE), 1)</f>
        <v>5.8331045811748007E-2</v>
      </c>
      <c r="L15" s="7">
        <f>$B15 * IFERROR(VLOOKUP("electricity|SO2|Work loss days", US_national_yearly!$D:$AM, 20, FALSE) / VLOOKUP("electricity|SO2|Work loss days", US_national_yearly!$D:$AM, 10, FALSE), 1)</f>
        <v>5.8671629600241144E-2</v>
      </c>
      <c r="M15" s="7">
        <f>$B15 * IFERROR(VLOOKUP("electricity|SO2|Work loss days", US_national_yearly!$D:$AM, 21, FALSE) / VLOOKUP("electricity|SO2|Work loss days", US_national_yearly!$D:$AM, 10, FALSE), 1)</f>
        <v>5.9012213388734309E-2</v>
      </c>
      <c r="N15" s="7">
        <f>$B15 * IFERROR(VLOOKUP("electricity|SO2|Work loss days", US_national_yearly!$D:$AM, 22, FALSE) / VLOOKUP("electricity|SO2|Work loss days", US_national_yearly!$D:$AM, 10, FALSE), 1)</f>
        <v>5.9443136582404903E-2</v>
      </c>
      <c r="O15" s="7">
        <f>$B15 * IFERROR(VLOOKUP("electricity|SO2|Work loss days", US_national_yearly!$D:$AM, 23, FALSE) / VLOOKUP("electricity|SO2|Work loss days", US_national_yearly!$D:$AM, 10, FALSE), 1)</f>
        <v>5.987405977607551E-2</v>
      </c>
      <c r="P15" s="7">
        <f>$B15 * IFERROR(VLOOKUP("electricity|SO2|Work loss days", US_national_yearly!$D:$AM, 24, FALSE) / VLOOKUP("electricity|SO2|Work loss days", US_national_yearly!$D:$AM, 10, FALSE), 1)</f>
        <v>6.0304982969746117E-2</v>
      </c>
      <c r="Q15" s="7">
        <f>$B15 * IFERROR(VLOOKUP("electricity|SO2|Work loss days", US_national_yearly!$D:$AM, 25, FALSE) / VLOOKUP("electricity|SO2|Work loss days", US_national_yearly!$D:$AM, 10, FALSE), 1)</f>
        <v>6.073590616341671E-2</v>
      </c>
      <c r="R15" s="7">
        <f>$B15 * IFERROR(VLOOKUP("electricity|SO2|Work loss days", US_national_yearly!$D:$AM, 26, FALSE) / VLOOKUP("electricity|SO2|Work loss days", US_national_yearly!$D:$AM, 10, FALSE), 1)</f>
        <v>6.1166829357087317E-2</v>
      </c>
      <c r="S15" s="7">
        <f>$B15 * IFERROR(VLOOKUP("electricity|SO2|Work loss days", US_national_yearly!$D:$AM, 27, FALSE) / VLOOKUP("electricity|SO2|Work loss days", US_national_yearly!$D:$AM, 10, FALSE), 1)</f>
        <v>6.1649934469678994E-2</v>
      </c>
      <c r="T15" s="7">
        <f>$B15 * IFERROR(VLOOKUP("electricity|SO2|Work loss days", US_national_yearly!$D:$AM, 28, FALSE) / VLOOKUP("electricity|SO2|Work loss days", US_national_yearly!$D:$AM, 10, FALSE), 1)</f>
        <v>6.2133039582270691E-2</v>
      </c>
      <c r="U15" s="7">
        <f>$B15 * IFERROR(VLOOKUP("electricity|SO2|Work loss days", US_national_yearly!$D:$AM, 29, FALSE) / VLOOKUP("electricity|SO2|Work loss days", US_national_yearly!$D:$AM, 10, FALSE), 1)</f>
        <v>6.2616144694862388E-2</v>
      </c>
      <c r="V15" s="7">
        <f>$B15 * IFERROR(VLOOKUP("electricity|SO2|Work loss days", US_national_yearly!$D:$AM, 30, FALSE) / VLOOKUP("electricity|SO2|Work loss days", US_national_yearly!$D:$AM, 10, FALSE), 1)</f>
        <v>6.3099249807454086E-2</v>
      </c>
      <c r="W15" s="7">
        <f>$B15 * IFERROR(VLOOKUP("electricity|SO2|Work loss days", US_national_yearly!$D:$AM, 31, FALSE) / VLOOKUP("electricity|SO2|Work loss days", US_national_yearly!$D:$AM, 10, FALSE), 1)</f>
        <v>6.3582354920045783E-2</v>
      </c>
      <c r="X15" s="7">
        <f>$B15 * IFERROR(VLOOKUP("electricity|SO2|Work loss days", US_national_yearly!$D:$AM, 32, FALSE) / VLOOKUP("electricity|SO2|Work loss days", US_national_yearly!$D:$AM, 10, FALSE), 1)</f>
        <v>6.4017584844557662E-2</v>
      </c>
      <c r="Y15" s="7">
        <f>$B15 * IFERROR(VLOOKUP("electricity|SO2|Work loss days", US_national_yearly!$D:$AM, 33, FALSE) / VLOOKUP("electricity|SO2|Work loss days", US_national_yearly!$D:$AM, 10, FALSE), 1)</f>
        <v>6.4452814769069541E-2</v>
      </c>
      <c r="Z15" s="7">
        <f>$B15 * IFERROR(VLOOKUP("electricity|SO2|Work loss days", US_national_yearly!$D:$AM, 34, FALSE) / VLOOKUP("electricity|SO2|Work loss days", US_national_yearly!$D:$AM, 10, FALSE), 1)</f>
        <v>6.4888044693581406E-2</v>
      </c>
      <c r="AA15" s="7">
        <f>$B15 * IFERROR(VLOOKUP("electricity|SO2|Work loss days", US_national_yearly!$D:$AM, 35, FALSE) / VLOOKUP("electricity|SO2|Work loss days", US_national_yearly!$D:$AM, 10, FALSE), 1)</f>
        <v>6.5323274618093286E-2</v>
      </c>
      <c r="AB15" s="7">
        <f>$B15 * IFERROR(VLOOKUP("electricity|SO2|Work loss days", US_national_yearly!$D:$AM, 36, FALSE) / VLOOKUP("electricity|SO2|Work loss days", US_national_yearly!$D:$AM, 10, FALSE), 1)</f>
        <v>6.5758504542605165E-2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5.2234634897765141E-5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5.3817489538154923E-5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5.5400344178544712E-5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5.6983198818934508E-5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5.8566053459324296E-5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6.0091824470709435E-5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6.1617595482094586E-5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6.2938517301397898E-5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6.4259439120701196E-5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6.5580360940004507E-5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6.6901282759307805E-5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6.8222204578611103E-5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6.9123730198554327E-5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7.0025255818497524E-5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7.0926781438440762E-5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7.1828307058383959E-5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7.2729832678327183E-5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7.3224065538559404E-5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7.3718298398791612E-5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7.4212531259023834E-5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7.4706764119256041E-5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7.5200996979488249E-5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7.5542159903649433E-5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7.5883322827810604E-5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7.6224485751971775E-5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7.6565648676132946E-5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7.6906811600294117E-5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1.9773626475539482E-2</v>
      </c>
      <c r="C2" s="7">
        <f>$B2 * IFERROR(VLOOKUP("buildings|PM25|Premature mortality", US_national_yearly!$D:$AM, 11, FALSE) / VLOOKUP("buildings|PM25|Premature mortality", US_national_yearly!$D:$AM, 10, FALSE), 1)</f>
        <v>2.0018953675428809E-2</v>
      </c>
      <c r="D2" s="7">
        <f>$B2 * IFERROR(VLOOKUP("buildings|PM25|Premature mortality", US_national_yearly!$D:$AM, 12, FALSE) / VLOOKUP("buildings|PM25|Premature mortality", US_national_yearly!$D:$AM, 10, FALSE), 1)</f>
        <v>2.0264280875318133E-2</v>
      </c>
      <c r="E2" s="7">
        <f>$B2 * IFERROR(VLOOKUP("buildings|PM25|Premature mortality", US_national_yearly!$D:$AM, 13, FALSE) / VLOOKUP("buildings|PM25|Premature mortality", US_national_yearly!$D:$AM, 10, FALSE), 1)</f>
        <v>2.050960807520746E-2</v>
      </c>
      <c r="F2" s="7">
        <f>$B2 * IFERROR(VLOOKUP("buildings|PM25|Premature mortality", US_national_yearly!$D:$AM, 14, FALSE) / VLOOKUP("buildings|PM25|Premature mortality", US_national_yearly!$D:$AM, 10, FALSE), 1)</f>
        <v>2.0754935275096784E-2</v>
      </c>
      <c r="G2" s="7">
        <f>$B2 * IFERROR(VLOOKUP("buildings|PM25|Premature mortality", US_national_yearly!$D:$AM, 15, FALSE) / VLOOKUP("buildings|PM25|Premature mortality", US_national_yearly!$D:$AM, 10, FALSE), 1)</f>
        <v>2.1232637642794372E-2</v>
      </c>
      <c r="H2" s="7">
        <f>$B2 * IFERROR(VLOOKUP("buildings|PM25|Premature mortality", US_national_yearly!$D:$AM, 16, FALSE) / VLOOKUP("buildings|PM25|Premature mortality", US_national_yearly!$D:$AM, 10, FALSE), 1)</f>
        <v>2.1710340010491963E-2</v>
      </c>
      <c r="I2" s="7">
        <f>$B2 * IFERROR(VLOOKUP("buildings|PM25|Premature mortality", US_national_yearly!$D:$AM, 17, FALSE) / VLOOKUP("buildings|PM25|Premature mortality", US_national_yearly!$D:$AM, 10, FALSE), 1)</f>
        <v>2.202451662976411E-2</v>
      </c>
      <c r="J2" s="7">
        <f>$B2 * IFERROR(VLOOKUP("buildings|PM25|Premature mortality", US_national_yearly!$D:$AM, 18, FALSE) / VLOOKUP("buildings|PM25|Premature mortality", US_national_yearly!$D:$AM, 10, FALSE), 1)</f>
        <v>2.2338693249036253E-2</v>
      </c>
      <c r="K2" s="7">
        <f>$B2 * IFERROR(VLOOKUP("buildings|PM25|Premature mortality", US_national_yearly!$D:$AM, 19, FALSE) / VLOOKUP("buildings|PM25|Premature mortality", US_national_yearly!$D:$AM, 10, FALSE), 1)</f>
        <v>2.26528698683084E-2</v>
      </c>
      <c r="L2" s="7">
        <f>$B2 * IFERROR(VLOOKUP("buildings|PM25|Premature mortality", US_national_yearly!$D:$AM, 20, FALSE) / VLOOKUP("buildings|PM25|Premature mortality", US_national_yearly!$D:$AM, 10, FALSE), 1)</f>
        <v>2.2967046487580547E-2</v>
      </c>
      <c r="M2" s="7">
        <f>$B2 * IFERROR(VLOOKUP("buildings|PM25|Premature mortality", US_national_yearly!$D:$AM, 21, FALSE) / VLOOKUP("buildings|PM25|Premature mortality", US_national_yearly!$D:$AM, 10, FALSE), 1)</f>
        <v>2.3281223106852694E-2</v>
      </c>
      <c r="N2" s="7">
        <f>$B2 * IFERROR(VLOOKUP("buildings|PM25|Premature mortality", US_national_yearly!$D:$AM, 22, FALSE) / VLOOKUP("buildings|PM25|Premature mortality", US_national_yearly!$D:$AM, 10, FALSE), 1)</f>
        <v>2.3525530346495599E-2</v>
      </c>
      <c r="O2" s="7">
        <f>$B2 * IFERROR(VLOOKUP("buildings|PM25|Premature mortality", US_national_yearly!$D:$AM, 23, FALSE) / VLOOKUP("buildings|PM25|Premature mortality", US_national_yearly!$D:$AM, 10, FALSE), 1)</f>
        <v>2.3769837586138508E-2</v>
      </c>
      <c r="P2" s="7">
        <f>$B2 * IFERROR(VLOOKUP("buildings|PM25|Premature mortality", US_national_yearly!$D:$AM, 24, FALSE) / VLOOKUP("buildings|PM25|Premature mortality", US_national_yearly!$D:$AM, 10, FALSE), 1)</f>
        <v>2.401414482578141E-2</v>
      </c>
      <c r="Q2" s="7">
        <f>$B2 * IFERROR(VLOOKUP("buildings|PM25|Premature mortality", US_national_yearly!$D:$AM, 25, FALSE) / VLOOKUP("buildings|PM25|Premature mortality", US_national_yearly!$D:$AM, 10, FALSE), 1)</f>
        <v>2.4258452065424325E-2</v>
      </c>
      <c r="R2" s="7">
        <f>$B2 * IFERROR(VLOOKUP("buildings|PM25|Premature mortality", US_national_yearly!$D:$AM, 26, FALSE) / VLOOKUP("buildings|PM25|Premature mortality", US_national_yearly!$D:$AM, 10, FALSE), 1)</f>
        <v>2.4502759305067227E-2</v>
      </c>
      <c r="S2" s="7">
        <f>$B2 * IFERROR(VLOOKUP("buildings|PM25|Premature mortality", US_national_yearly!$D:$AM, 27, FALSE) / VLOOKUP("buildings|PM25|Premature mortality", US_national_yearly!$D:$AM, 10, FALSE), 1)</f>
        <v>2.4632611029611381E-2</v>
      </c>
      <c r="T2" s="7">
        <f>$B2 * IFERROR(VLOOKUP("buildings|PM25|Premature mortality", US_national_yearly!$D:$AM, 28, FALSE) / VLOOKUP("buildings|PM25|Premature mortality", US_national_yearly!$D:$AM, 10, FALSE), 1)</f>
        <v>2.4762462754155536E-2</v>
      </c>
      <c r="U2" s="7">
        <f>$B2 * IFERROR(VLOOKUP("buildings|PM25|Premature mortality", US_national_yearly!$D:$AM, 29, FALSE) / VLOOKUP("buildings|PM25|Premature mortality", US_national_yearly!$D:$AM, 10, FALSE), 1)</f>
        <v>2.4892314478699693E-2</v>
      </c>
      <c r="V2" s="7">
        <f>$B2 * IFERROR(VLOOKUP("buildings|PM25|Premature mortality", US_national_yearly!$D:$AM, 30, FALSE) / VLOOKUP("buildings|PM25|Premature mortality", US_national_yearly!$D:$AM, 10, FALSE), 1)</f>
        <v>2.5022166203243847E-2</v>
      </c>
      <c r="W2" s="7">
        <f>$B2 * IFERROR(VLOOKUP("buildings|PM25|Premature mortality", US_national_yearly!$D:$AM, 31, FALSE) / VLOOKUP("buildings|PM25|Premature mortality", US_national_yearly!$D:$AM, 10, FALSE), 1)</f>
        <v>2.5152017927787998E-2</v>
      </c>
      <c r="X2" s="7">
        <f>$B2 * IFERROR(VLOOKUP("buildings|PM25|Premature mortality", US_national_yearly!$D:$AM, 32, FALSE) / VLOOKUP("buildings|PM25|Premature mortality", US_national_yearly!$D:$AM, 10, FALSE), 1)</f>
        <v>2.5175325269872567E-2</v>
      </c>
      <c r="Y2" s="7">
        <f>$B2 * IFERROR(VLOOKUP("buildings|PM25|Premature mortality", US_national_yearly!$D:$AM, 33, FALSE) / VLOOKUP("buildings|PM25|Premature mortality", US_national_yearly!$D:$AM, 10, FALSE), 1)</f>
        <v>2.5198632611957129E-2</v>
      </c>
      <c r="Z2" s="7">
        <f>$B2 * IFERROR(VLOOKUP("buildings|PM25|Premature mortality", US_national_yearly!$D:$AM, 34, FALSE) / VLOOKUP("buildings|PM25|Premature mortality", US_national_yearly!$D:$AM, 10, FALSE), 1)</f>
        <v>2.5221939954041695E-2</v>
      </c>
      <c r="AA2" s="7">
        <f>$B2 * IFERROR(VLOOKUP("buildings|PM25|Premature mortality", US_national_yearly!$D:$AM, 35, FALSE) / VLOOKUP("buildings|PM25|Premature mortality", US_national_yearly!$D:$AM, 10, FALSE), 1)</f>
        <v>2.5245247296126261E-2</v>
      </c>
      <c r="AB2" s="7">
        <f>$B2 * IFERROR(VLOOKUP("buildings|PM25|Premature mortality", US_national_yearly!$D:$AM, 36, FALSE) / VLOOKUP("buildings|PM25|Premature mortality", US_national_yearly!$D:$AM, 10, FALSE), 1)</f>
        <v>2.5268554638210823E-2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9.0132183022098857E-5</v>
      </c>
      <c r="C3" s="7">
        <f>$B3 * IFERROR(VLOOKUP("buildings|PM25|Infant mortality", US_national_yearly!$D:$AM, 11, FALSE) / VLOOKUP("buildings|PM25|Infant mortality", US_national_yearly!$D:$AM, 10, FALSE), 1)</f>
        <v>8.9351492514641869E-5</v>
      </c>
      <c r="D3" s="7">
        <f>$B3 * IFERROR(VLOOKUP("buildings|PM25|Infant mortality", US_national_yearly!$D:$AM, 12, FALSE) / VLOOKUP("buildings|PM25|Infant mortality", US_national_yearly!$D:$AM, 10, FALSE), 1)</f>
        <v>8.8570802007184894E-5</v>
      </c>
      <c r="E3" s="7">
        <f>$B3 * IFERROR(VLOOKUP("buildings|PM25|Infant mortality", US_national_yearly!$D:$AM, 13, FALSE) / VLOOKUP("buildings|PM25|Infant mortality", US_national_yearly!$D:$AM, 10, FALSE), 1)</f>
        <v>8.7790111499727906E-5</v>
      </c>
      <c r="F3" s="7">
        <f>$B3 * IFERROR(VLOOKUP("buildings|PM25|Infant mortality", US_national_yearly!$D:$AM, 14, FALSE) / VLOOKUP("buildings|PM25|Infant mortality", US_national_yearly!$D:$AM, 10, FALSE), 1)</f>
        <v>8.7009420992270931E-5</v>
      </c>
      <c r="G3" s="7">
        <f>$B3 * IFERROR(VLOOKUP("buildings|PM25|Infant mortality", US_national_yearly!$D:$AM, 15, FALSE) / VLOOKUP("buildings|PM25|Infant mortality", US_national_yearly!$D:$AM, 10, FALSE), 1)</f>
        <v>5.7858108329830011E-5</v>
      </c>
      <c r="H3" s="7">
        <f>$B3 * IFERROR(VLOOKUP("buildings|PM25|Infant mortality", US_national_yearly!$D:$AM, 16, FALSE) / VLOOKUP("buildings|PM25|Infant mortality", US_national_yearly!$D:$AM, 10, FALSE), 1)</f>
        <v>2.8706795667389101E-5</v>
      </c>
      <c r="I3" s="7">
        <f>$B3 * IFERROR(VLOOKUP("buildings|PM25|Infant mortality", US_national_yearly!$D:$AM, 17, FALSE) / VLOOKUP("buildings|PM25|Infant mortality", US_national_yearly!$D:$AM, 10, FALSE), 1)</f>
        <v>2.8519730542458855E-5</v>
      </c>
      <c r="J3" s="7">
        <f>$B3 * IFERROR(VLOOKUP("buildings|PM25|Infant mortality", US_national_yearly!$D:$AM, 18, FALSE) / VLOOKUP("buildings|PM25|Infant mortality", US_national_yearly!$D:$AM, 10, FALSE), 1)</f>
        <v>2.8332665417528613E-5</v>
      </c>
      <c r="K3" s="7">
        <f>$B3 * IFERROR(VLOOKUP("buildings|PM25|Infant mortality", US_national_yearly!$D:$AM, 19, FALSE) / VLOOKUP("buildings|PM25|Infant mortality", US_national_yearly!$D:$AM, 10, FALSE), 1)</f>
        <v>2.814560029259837E-5</v>
      </c>
      <c r="L3" s="7">
        <f>$B3 * IFERROR(VLOOKUP("buildings|PM25|Infant mortality", US_national_yearly!$D:$AM, 20, FALSE) / VLOOKUP("buildings|PM25|Infant mortality", US_national_yearly!$D:$AM, 10, FALSE), 1)</f>
        <v>2.7958535167668125E-5</v>
      </c>
      <c r="M3" s="7">
        <f>$B3 * IFERROR(VLOOKUP("buildings|PM25|Infant mortality", US_national_yearly!$D:$AM, 21, FALSE) / VLOOKUP("buildings|PM25|Infant mortality", US_national_yearly!$D:$AM, 10, FALSE), 1)</f>
        <v>2.7771470042737882E-5</v>
      </c>
      <c r="N3" s="7">
        <f>$B3 * IFERROR(VLOOKUP("buildings|PM25|Infant mortality", US_national_yearly!$D:$AM, 22, FALSE) / VLOOKUP("buildings|PM25|Infant mortality", US_national_yearly!$D:$AM, 10, FALSE), 1)</f>
        <v>2.7654424196882976E-5</v>
      </c>
      <c r="O3" s="7">
        <f>$B3 * IFERROR(VLOOKUP("buildings|PM25|Infant mortality", US_national_yearly!$D:$AM, 23, FALSE) / VLOOKUP("buildings|PM25|Infant mortality", US_national_yearly!$D:$AM, 10, FALSE), 1)</f>
        <v>2.753737835102807E-5</v>
      </c>
      <c r="P3" s="7">
        <f>$B3 * IFERROR(VLOOKUP("buildings|PM25|Infant mortality", US_national_yearly!$D:$AM, 24, FALSE) / VLOOKUP("buildings|PM25|Infant mortality", US_national_yearly!$D:$AM, 10, FALSE), 1)</f>
        <v>2.7420332505173167E-5</v>
      </c>
      <c r="Q3" s="7">
        <f>$B3 * IFERROR(VLOOKUP("buildings|PM25|Infant mortality", US_national_yearly!$D:$AM, 25, FALSE) / VLOOKUP("buildings|PM25|Infant mortality", US_national_yearly!$D:$AM, 10, FALSE), 1)</f>
        <v>2.7303286659318261E-5</v>
      </c>
      <c r="R3" s="7">
        <f>$B3 * IFERROR(VLOOKUP("buildings|PM25|Infant mortality", US_national_yearly!$D:$AM, 26, FALSE) / VLOOKUP("buildings|PM25|Infant mortality", US_national_yearly!$D:$AM, 10, FALSE), 1)</f>
        <v>2.7186240813463355E-5</v>
      </c>
      <c r="S3" s="7">
        <f>$B3 * IFERROR(VLOOKUP("buildings|PM25|Infant mortality", US_national_yearly!$D:$AM, 27, FALSE) / VLOOKUP("buildings|PM25|Infant mortality", US_national_yearly!$D:$AM, 10, FALSE), 1)</f>
        <v>2.704010102653895E-5</v>
      </c>
      <c r="T3" s="7">
        <f>$B3 * IFERROR(VLOOKUP("buildings|PM25|Infant mortality", US_national_yearly!$D:$AM, 28, FALSE) / VLOOKUP("buildings|PM25|Infant mortality", US_national_yearly!$D:$AM, 10, FALSE), 1)</f>
        <v>2.6893961239614552E-5</v>
      </c>
      <c r="U3" s="7">
        <f>$B3 * IFERROR(VLOOKUP("buildings|PM25|Infant mortality", US_national_yearly!$D:$AM, 29, FALSE) / VLOOKUP("buildings|PM25|Infant mortality", US_national_yearly!$D:$AM, 10, FALSE), 1)</f>
        <v>2.6747821452690141E-5</v>
      </c>
      <c r="V3" s="7">
        <f>$B3 * IFERROR(VLOOKUP("buildings|PM25|Infant mortality", US_national_yearly!$D:$AM, 30, FALSE) / VLOOKUP("buildings|PM25|Infant mortality", US_national_yearly!$D:$AM, 10, FALSE), 1)</f>
        <v>2.6601681665765739E-5</v>
      </c>
      <c r="W3" s="7">
        <f>$B3 * IFERROR(VLOOKUP("buildings|PM25|Infant mortality", US_national_yearly!$D:$AM, 31, FALSE) / VLOOKUP("buildings|PM25|Infant mortality", US_national_yearly!$D:$AM, 10, FALSE), 1)</f>
        <v>2.6455541878841335E-5</v>
      </c>
      <c r="X3" s="7">
        <f>$B3 * IFERROR(VLOOKUP("buildings|PM25|Infant mortality", US_national_yearly!$D:$AM, 32, FALSE) / VLOOKUP("buildings|PM25|Infant mortality", US_national_yearly!$D:$AM, 10, FALSE), 1)</f>
        <v>2.629820358215948E-5</v>
      </c>
      <c r="Y3" s="7">
        <f>$B3 * IFERROR(VLOOKUP("buildings|PM25|Infant mortality", US_national_yearly!$D:$AM, 33, FALSE) / VLOOKUP("buildings|PM25|Infant mortality", US_national_yearly!$D:$AM, 10, FALSE), 1)</f>
        <v>2.6140865285477628E-5</v>
      </c>
      <c r="Z3" s="7">
        <f>$B3 * IFERROR(VLOOKUP("buildings|PM25|Infant mortality", US_national_yearly!$D:$AM, 34, FALSE) / VLOOKUP("buildings|PM25|Infant mortality", US_national_yearly!$D:$AM, 10, FALSE), 1)</f>
        <v>2.598352698879577E-5</v>
      </c>
      <c r="AA3" s="7">
        <f>$B3 * IFERROR(VLOOKUP("buildings|PM25|Infant mortality", US_national_yearly!$D:$AM, 35, FALSE) / VLOOKUP("buildings|PM25|Infant mortality", US_national_yearly!$D:$AM, 10, FALSE), 1)</f>
        <v>2.5826188692113915E-5</v>
      </c>
      <c r="AB3" s="7">
        <f>$B3 * IFERROR(VLOOKUP("buildings|PM25|Infant mortality", US_national_yearly!$D:$AM, 36, FALSE) / VLOOKUP("buildings|PM25|Infant mortality", US_national_yearly!$D:$AM, 10, FALSE), 1)</f>
        <v>2.5668850395432064E-5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9.867352166700237E-2</v>
      </c>
      <c r="C6" s="7">
        <f>$B6 * IFERROR(VLOOKUP("buildings|PM25|Asthma symptoms cough", US_national_yearly!$D:$AM, 11, FALSE) / VLOOKUP("buildings|PM25|Asthma symptoms cough", US_national_yearly!$D:$AM, 10, FALSE), 1)</f>
        <v>9.867352166700237E-2</v>
      </c>
      <c r="D6" s="7">
        <f>$B6 * IFERROR(VLOOKUP("buildings|PM25|Asthma symptoms cough", US_national_yearly!$D:$AM, 12, FALSE) / VLOOKUP("buildings|PM25|Asthma symptoms cough", US_national_yearly!$D:$AM, 10, FALSE), 1)</f>
        <v>9.867352166700237E-2</v>
      </c>
      <c r="E6" s="7">
        <f>$B6 * IFERROR(VLOOKUP("buildings|PM25|Asthma symptoms cough", US_national_yearly!$D:$AM, 13, FALSE) / VLOOKUP("buildings|PM25|Asthma symptoms cough", US_national_yearly!$D:$AM, 10, FALSE), 1)</f>
        <v>9.867352166700237E-2</v>
      </c>
      <c r="F6" s="7">
        <f>$B6 * IFERROR(VLOOKUP("buildings|PM25|Asthma symptoms cough", US_national_yearly!$D:$AM, 14, FALSE) / VLOOKUP("buildings|PM25|Asthma symptoms cough", US_national_yearly!$D:$AM, 10, FALSE), 1)</f>
        <v>9.867352166700237E-2</v>
      </c>
      <c r="G6" s="7">
        <f>$B6 * IFERROR(VLOOKUP("buildings|PM25|Asthma symptoms cough", US_national_yearly!$D:$AM, 15, FALSE) / VLOOKUP("buildings|PM25|Asthma symptoms cough", US_national_yearly!$D:$AM, 10, FALSE), 1)</f>
        <v>9.867352166700237E-2</v>
      </c>
      <c r="H6" s="7">
        <f>$B6 * IFERROR(VLOOKUP("buildings|PM25|Asthma symptoms cough", US_national_yearly!$D:$AM, 16, FALSE) / VLOOKUP("buildings|PM25|Asthma symptoms cough", US_national_yearly!$D:$AM, 10, FALSE), 1)</f>
        <v>9.867352166700237E-2</v>
      </c>
      <c r="I6" s="7">
        <f>$B6 * IFERROR(VLOOKUP("buildings|PM25|Asthma symptoms cough", US_national_yearly!$D:$AM, 17, FALSE) / VLOOKUP("buildings|PM25|Asthma symptoms cough", US_national_yearly!$D:$AM, 10, FALSE), 1)</f>
        <v>9.867352166700237E-2</v>
      </c>
      <c r="J6" s="7">
        <f>$B6 * IFERROR(VLOOKUP("buildings|PM25|Asthma symptoms cough", US_national_yearly!$D:$AM, 18, FALSE) / VLOOKUP("buildings|PM25|Asthma symptoms cough", US_national_yearly!$D:$AM, 10, FALSE), 1)</f>
        <v>9.867352166700237E-2</v>
      </c>
      <c r="K6" s="7">
        <f>$B6 * IFERROR(VLOOKUP("buildings|PM25|Asthma symptoms cough", US_national_yearly!$D:$AM, 19, FALSE) / VLOOKUP("buildings|PM25|Asthma symptoms cough", US_national_yearly!$D:$AM, 10, FALSE), 1)</f>
        <v>9.867352166700237E-2</v>
      </c>
      <c r="L6" s="7">
        <f>$B6 * IFERROR(VLOOKUP("buildings|PM25|Asthma symptoms cough", US_national_yearly!$D:$AM, 20, FALSE) / VLOOKUP("buildings|PM25|Asthma symptoms cough", US_national_yearly!$D:$AM, 10, FALSE), 1)</f>
        <v>9.867352166700237E-2</v>
      </c>
      <c r="M6" s="7">
        <f>$B6 * IFERROR(VLOOKUP("buildings|PM25|Asthma symptoms cough", US_national_yearly!$D:$AM, 21, FALSE) / VLOOKUP("buildings|PM25|Asthma symptoms cough", US_national_yearly!$D:$AM, 10, FALSE), 1)</f>
        <v>9.867352166700237E-2</v>
      </c>
      <c r="N6" s="7">
        <f>$B6 * IFERROR(VLOOKUP("buildings|PM25|Asthma symptoms cough", US_national_yearly!$D:$AM, 22, FALSE) / VLOOKUP("buildings|PM25|Asthma symptoms cough", US_national_yearly!$D:$AM, 10, FALSE), 1)</f>
        <v>9.867352166700237E-2</v>
      </c>
      <c r="O6" s="7">
        <f>$B6 * IFERROR(VLOOKUP("buildings|PM25|Asthma symptoms cough", US_national_yearly!$D:$AM, 23, FALSE) / VLOOKUP("buildings|PM25|Asthma symptoms cough", US_national_yearly!$D:$AM, 10, FALSE), 1)</f>
        <v>9.867352166700237E-2</v>
      </c>
      <c r="P6" s="7">
        <f>$B6 * IFERROR(VLOOKUP("buildings|PM25|Asthma symptoms cough", US_national_yearly!$D:$AM, 24, FALSE) / VLOOKUP("buildings|PM25|Asthma symptoms cough", US_national_yearly!$D:$AM, 10, FALSE), 1)</f>
        <v>9.867352166700237E-2</v>
      </c>
      <c r="Q6" s="7">
        <f>$B6 * IFERROR(VLOOKUP("buildings|PM25|Asthma symptoms cough", US_national_yearly!$D:$AM, 25, FALSE) / VLOOKUP("buildings|PM25|Asthma symptoms cough", US_national_yearly!$D:$AM, 10, FALSE), 1)</f>
        <v>9.867352166700237E-2</v>
      </c>
      <c r="R6" s="7">
        <f>$B6 * IFERROR(VLOOKUP("buildings|PM25|Asthma symptoms cough", US_national_yearly!$D:$AM, 26, FALSE) / VLOOKUP("buildings|PM25|Asthma symptoms cough", US_national_yearly!$D:$AM, 10, FALSE), 1)</f>
        <v>9.867352166700237E-2</v>
      </c>
      <c r="S6" s="7">
        <f>$B6 * IFERROR(VLOOKUP("buildings|PM25|Asthma symptoms cough", US_national_yearly!$D:$AM, 27, FALSE) / VLOOKUP("buildings|PM25|Asthma symptoms cough", US_national_yearly!$D:$AM, 10, FALSE), 1)</f>
        <v>9.867352166700237E-2</v>
      </c>
      <c r="T6" s="7">
        <f>$B6 * IFERROR(VLOOKUP("buildings|PM25|Asthma symptoms cough", US_national_yearly!$D:$AM, 28, FALSE) / VLOOKUP("buildings|PM25|Asthma symptoms cough", US_national_yearly!$D:$AM, 10, FALSE), 1)</f>
        <v>9.867352166700237E-2</v>
      </c>
      <c r="U6" s="7">
        <f>$B6 * IFERROR(VLOOKUP("buildings|PM25|Asthma symptoms cough", US_national_yearly!$D:$AM, 29, FALSE) / VLOOKUP("buildings|PM25|Asthma symptoms cough", US_national_yearly!$D:$AM, 10, FALSE), 1)</f>
        <v>9.867352166700237E-2</v>
      </c>
      <c r="V6" s="7">
        <f>$B6 * IFERROR(VLOOKUP("buildings|PM25|Asthma symptoms cough", US_national_yearly!$D:$AM, 30, FALSE) / VLOOKUP("buildings|PM25|Asthma symptoms cough", US_national_yearly!$D:$AM, 10, FALSE), 1)</f>
        <v>9.867352166700237E-2</v>
      </c>
      <c r="W6" s="7">
        <f>$B6 * IFERROR(VLOOKUP("buildings|PM25|Asthma symptoms cough", US_national_yearly!$D:$AM, 31, FALSE) / VLOOKUP("buildings|PM25|Asthma symptoms cough", US_national_yearly!$D:$AM, 10, FALSE), 1)</f>
        <v>9.867352166700237E-2</v>
      </c>
      <c r="X6" s="7">
        <f>$B6 * IFERROR(VLOOKUP("buildings|PM25|Asthma symptoms cough", US_national_yearly!$D:$AM, 32, FALSE) / VLOOKUP("buildings|PM25|Asthma symptoms cough", US_national_yearly!$D:$AM, 10, FALSE), 1)</f>
        <v>9.867352166700237E-2</v>
      </c>
      <c r="Y6" s="7">
        <f>$B6 * IFERROR(VLOOKUP("buildings|PM25|Asthma symptoms cough", US_national_yearly!$D:$AM, 33, FALSE) / VLOOKUP("buildings|PM25|Asthma symptoms cough", US_national_yearly!$D:$AM, 10, FALSE), 1)</f>
        <v>9.867352166700237E-2</v>
      </c>
      <c r="Z6" s="7">
        <f>$B6 * IFERROR(VLOOKUP("buildings|PM25|Asthma symptoms cough", US_national_yearly!$D:$AM, 34, FALSE) / VLOOKUP("buildings|PM25|Asthma symptoms cough", US_national_yearly!$D:$AM, 10, FALSE), 1)</f>
        <v>9.867352166700237E-2</v>
      </c>
      <c r="AA6" s="7">
        <f>$B6 * IFERROR(VLOOKUP("buildings|PM25|Asthma symptoms cough", US_national_yearly!$D:$AM, 35, FALSE) / VLOOKUP("buildings|PM25|Asthma symptoms cough", US_national_yearly!$D:$AM, 10, FALSE), 1)</f>
        <v>9.867352166700237E-2</v>
      </c>
      <c r="AB6" s="7">
        <f>$B6 * IFERROR(VLOOKUP("buildings|PM25|Asthma symptoms cough", US_national_yearly!$D:$AM, 36, FALSE) / VLOOKUP("buildings|PM25|Asthma symptoms cough", US_national_yearly!$D:$AM, 10, FALSE), 1)</f>
        <v>9.867352166700237E-2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0.13287829594993458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0.13287829594993458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0.13287829594993458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0.13287829594993458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0.13287829594993458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0.13287829594993458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0.13287829594993458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0.13287829594993458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0.13287829594993458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0.13287829594993458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0.13287829594993458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0.13287829594993458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0.13287829594993458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0.13287829594993458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0.13287829594993458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0.13287829594993458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0.13287829594993458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0.13287829594993458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0.13287829594993458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0.13287829594993458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0.13287829594993458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0.13287829594993458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0.13287829594993458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0.13287829594993458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0.13287829594993458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0.13287829594993458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0.13287829594993458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0.20301522679326223</v>
      </c>
      <c r="C8" s="7">
        <f>$B8 * IFERROR(VLOOKUP("buildings|PM25|Asthma symptoms wheeze", US_national_yearly!$D:$AM, 11, FALSE) / VLOOKUP("buildings|PM25|Asthma symptoms wheeze", US_national_yearly!$D:$AM, 10, FALSE), 1)</f>
        <v>0.20301522679326223</v>
      </c>
      <c r="D8" s="7">
        <f>$B8 * IFERROR(VLOOKUP("buildings|PM25|Asthma symptoms wheeze", US_national_yearly!$D:$AM, 12, FALSE) / VLOOKUP("buildings|PM25|Asthma symptoms wheeze", US_national_yearly!$D:$AM, 10, FALSE), 1)</f>
        <v>0.20301522679326223</v>
      </c>
      <c r="E8" s="7">
        <f>$B8 * IFERROR(VLOOKUP("buildings|PM25|Asthma symptoms wheeze", US_national_yearly!$D:$AM, 13, FALSE) / VLOOKUP("buildings|PM25|Asthma symptoms wheeze", US_national_yearly!$D:$AM, 10, FALSE), 1)</f>
        <v>0.20301522679326223</v>
      </c>
      <c r="F8" s="7">
        <f>$B8 * IFERROR(VLOOKUP("buildings|PM25|Asthma symptoms wheeze", US_national_yearly!$D:$AM, 14, FALSE) / VLOOKUP("buildings|PM25|Asthma symptoms wheeze", US_national_yearly!$D:$AM, 10, FALSE), 1)</f>
        <v>0.20301522679326223</v>
      </c>
      <c r="G8" s="7">
        <f>$B8 * IFERROR(VLOOKUP("buildings|PM25|Asthma symptoms wheeze", US_national_yearly!$D:$AM, 15, FALSE) / VLOOKUP("buildings|PM25|Asthma symptoms wheeze", US_national_yearly!$D:$AM, 10, FALSE), 1)</f>
        <v>0.20301522679326223</v>
      </c>
      <c r="H8" s="7">
        <f>$B8 * IFERROR(VLOOKUP("buildings|PM25|Asthma symptoms wheeze", US_national_yearly!$D:$AM, 16, FALSE) / VLOOKUP("buildings|PM25|Asthma symptoms wheeze", US_national_yearly!$D:$AM, 10, FALSE), 1)</f>
        <v>0.20301522679326223</v>
      </c>
      <c r="I8" s="7">
        <f>$B8 * IFERROR(VLOOKUP("buildings|PM25|Asthma symptoms wheeze", US_national_yearly!$D:$AM, 17, FALSE) / VLOOKUP("buildings|PM25|Asthma symptoms wheeze", US_national_yearly!$D:$AM, 10, FALSE), 1)</f>
        <v>0.20301522679326223</v>
      </c>
      <c r="J8" s="7">
        <f>$B8 * IFERROR(VLOOKUP("buildings|PM25|Asthma symptoms wheeze", US_national_yearly!$D:$AM, 18, FALSE) / VLOOKUP("buildings|PM25|Asthma symptoms wheeze", US_national_yearly!$D:$AM, 10, FALSE), 1)</f>
        <v>0.20301522679326223</v>
      </c>
      <c r="K8" s="7">
        <f>$B8 * IFERROR(VLOOKUP("buildings|PM25|Asthma symptoms wheeze", US_national_yearly!$D:$AM, 19, FALSE) / VLOOKUP("buildings|PM25|Asthma symptoms wheeze", US_national_yearly!$D:$AM, 10, FALSE), 1)</f>
        <v>0.20301522679326223</v>
      </c>
      <c r="L8" s="7">
        <f>$B8 * IFERROR(VLOOKUP("buildings|PM25|Asthma symptoms wheeze", US_national_yearly!$D:$AM, 20, FALSE) / VLOOKUP("buildings|PM25|Asthma symptoms wheeze", US_national_yearly!$D:$AM, 10, FALSE), 1)</f>
        <v>0.20301522679326223</v>
      </c>
      <c r="M8" s="7">
        <f>$B8 * IFERROR(VLOOKUP("buildings|PM25|Asthma symptoms wheeze", US_national_yearly!$D:$AM, 21, FALSE) / VLOOKUP("buildings|PM25|Asthma symptoms wheeze", US_national_yearly!$D:$AM, 10, FALSE), 1)</f>
        <v>0.20301522679326223</v>
      </c>
      <c r="N8" s="7">
        <f>$B8 * IFERROR(VLOOKUP("buildings|PM25|Asthma symptoms wheeze", US_national_yearly!$D:$AM, 22, FALSE) / VLOOKUP("buildings|PM25|Asthma symptoms wheeze", US_national_yearly!$D:$AM, 10, FALSE), 1)</f>
        <v>0.20301522679326223</v>
      </c>
      <c r="O8" s="7">
        <f>$B8 * IFERROR(VLOOKUP("buildings|PM25|Asthma symptoms wheeze", US_national_yearly!$D:$AM, 23, FALSE) / VLOOKUP("buildings|PM25|Asthma symptoms wheeze", US_national_yearly!$D:$AM, 10, FALSE), 1)</f>
        <v>0.20301522679326223</v>
      </c>
      <c r="P8" s="7">
        <f>$B8 * IFERROR(VLOOKUP("buildings|PM25|Asthma symptoms wheeze", US_national_yearly!$D:$AM, 24, FALSE) / VLOOKUP("buildings|PM25|Asthma symptoms wheeze", US_national_yearly!$D:$AM, 10, FALSE), 1)</f>
        <v>0.20301522679326223</v>
      </c>
      <c r="Q8" s="7">
        <f>$B8 * IFERROR(VLOOKUP("buildings|PM25|Asthma symptoms wheeze", US_national_yearly!$D:$AM, 25, FALSE) / VLOOKUP("buildings|PM25|Asthma symptoms wheeze", US_national_yearly!$D:$AM, 10, FALSE), 1)</f>
        <v>0.20301522679326223</v>
      </c>
      <c r="R8" s="7">
        <f>$B8 * IFERROR(VLOOKUP("buildings|PM25|Asthma symptoms wheeze", US_national_yearly!$D:$AM, 26, FALSE) / VLOOKUP("buildings|PM25|Asthma symptoms wheeze", US_national_yearly!$D:$AM, 10, FALSE), 1)</f>
        <v>0.20301522679326223</v>
      </c>
      <c r="S8" s="7">
        <f>$B8 * IFERROR(VLOOKUP("buildings|PM25|Asthma symptoms wheeze", US_national_yearly!$D:$AM, 27, FALSE) / VLOOKUP("buildings|PM25|Asthma symptoms wheeze", US_national_yearly!$D:$AM, 10, FALSE), 1)</f>
        <v>0.20301522679326223</v>
      </c>
      <c r="T8" s="7">
        <f>$B8 * IFERROR(VLOOKUP("buildings|PM25|Asthma symptoms wheeze", US_national_yearly!$D:$AM, 28, FALSE) / VLOOKUP("buildings|PM25|Asthma symptoms wheeze", US_national_yearly!$D:$AM, 10, FALSE), 1)</f>
        <v>0.20301522679326223</v>
      </c>
      <c r="U8" s="7">
        <f>$B8 * IFERROR(VLOOKUP("buildings|PM25|Asthma symptoms wheeze", US_national_yearly!$D:$AM, 29, FALSE) / VLOOKUP("buildings|PM25|Asthma symptoms wheeze", US_national_yearly!$D:$AM, 10, FALSE), 1)</f>
        <v>0.20301522679326223</v>
      </c>
      <c r="V8" s="7">
        <f>$B8 * IFERROR(VLOOKUP("buildings|PM25|Asthma symptoms wheeze", US_national_yearly!$D:$AM, 30, FALSE) / VLOOKUP("buildings|PM25|Asthma symptoms wheeze", US_national_yearly!$D:$AM, 10, FALSE), 1)</f>
        <v>0.20301522679326223</v>
      </c>
      <c r="W8" s="7">
        <f>$B8 * IFERROR(VLOOKUP("buildings|PM25|Asthma symptoms wheeze", US_national_yearly!$D:$AM, 31, FALSE) / VLOOKUP("buildings|PM25|Asthma symptoms wheeze", US_national_yearly!$D:$AM, 10, FALSE), 1)</f>
        <v>0.20301522679326223</v>
      </c>
      <c r="X8" s="7">
        <f>$B8 * IFERROR(VLOOKUP("buildings|PM25|Asthma symptoms wheeze", US_national_yearly!$D:$AM, 32, FALSE) / VLOOKUP("buildings|PM25|Asthma symptoms wheeze", US_national_yearly!$D:$AM, 10, FALSE), 1)</f>
        <v>0.20301522679326223</v>
      </c>
      <c r="Y8" s="7">
        <f>$B8 * IFERROR(VLOOKUP("buildings|PM25|Asthma symptoms wheeze", US_national_yearly!$D:$AM, 33, FALSE) / VLOOKUP("buildings|PM25|Asthma symptoms wheeze", US_national_yearly!$D:$AM, 10, FALSE), 1)</f>
        <v>0.20301522679326223</v>
      </c>
      <c r="Z8" s="7">
        <f>$B8 * IFERROR(VLOOKUP("buildings|PM25|Asthma symptoms wheeze", US_national_yearly!$D:$AM, 34, FALSE) / VLOOKUP("buildings|PM25|Asthma symptoms wheeze", US_national_yearly!$D:$AM, 10, FALSE), 1)</f>
        <v>0.20301522679326223</v>
      </c>
      <c r="AA8" s="7">
        <f>$B8 * IFERROR(VLOOKUP("buildings|PM25|Asthma symptoms wheeze", US_national_yearly!$D:$AM, 35, FALSE) / VLOOKUP("buildings|PM25|Asthma symptoms wheeze", US_national_yearly!$D:$AM, 10, FALSE), 1)</f>
        <v>0.20301522679326223</v>
      </c>
      <c r="AB8" s="7">
        <f>$B8 * IFERROR(VLOOKUP("buildings|PM25|Asthma symptoms wheeze", US_national_yearly!$D:$AM, 36, FALSE) / VLOOKUP("buildings|PM25|Asthma symptoms wheeze", US_national_yearly!$D:$AM, 10, FALSE), 1)</f>
        <v>0.20301522679326223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1.0893768509515247E-3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1.095656200248159E-3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1.1019355495447934E-3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1.1082148988414279E-3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1.1144942481380623E-3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1.1212702478003609E-3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1.1280462474626595E-3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1.1344908358834828E-3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1.1409354243043057E-3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1.1473800127251286E-3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1.1538246011459517E-3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1.1602691895667746E-3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1.1649045944490503E-3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1.1695399993313258E-3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1.1741754042136016E-3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1.1788108090958771E-3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1.1834462139781526E-3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1.1878627021771834E-3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1.1922791903762149E-3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1.1966956785752457E-3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1.2011121667742765E-3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1.2055286549733078E-3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1.209794282480865E-3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1.2140599099884223E-3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1.2183255374959795E-3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1.2225911650035367E-3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1.2268567925110938E-3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7.5681120900984583E-3</v>
      </c>
      <c r="C13" s="7">
        <f>$B13 * IFERROR(VLOOKUP("buildings|PM25|Non-fatal heart attacks", US_national_yearly!$D:$AM, 11, FALSE) / VLOOKUP("buildings|PM25|Non-fatal heart attacks", US_national_yearly!$D:$AM, 10, FALSE), 1)</f>
        <v>7.7882413393297713E-3</v>
      </c>
      <c r="D13" s="7">
        <f>$B13 * IFERROR(VLOOKUP("buildings|PM25|Non-fatal heart attacks", US_national_yearly!$D:$AM, 12, FALSE) / VLOOKUP("buildings|PM25|Non-fatal heart attacks", US_national_yearly!$D:$AM, 10, FALSE), 1)</f>
        <v>8.0083705885610826E-3</v>
      </c>
      <c r="E13" s="7">
        <f>$B13 * IFERROR(VLOOKUP("buildings|PM25|Non-fatal heart attacks", US_national_yearly!$D:$AM, 13, FALSE) / VLOOKUP("buildings|PM25|Non-fatal heart attacks", US_national_yearly!$D:$AM, 10, FALSE), 1)</f>
        <v>8.2284998377923947E-3</v>
      </c>
      <c r="F13" s="7">
        <f>$B13 * IFERROR(VLOOKUP("buildings|PM25|Non-fatal heart attacks", US_national_yearly!$D:$AM, 14, FALSE) / VLOOKUP("buildings|PM25|Non-fatal heart attacks", US_national_yearly!$D:$AM, 10, FALSE), 1)</f>
        <v>8.4486290870237086E-3</v>
      </c>
      <c r="G13" s="7">
        <f>$B13 * IFERROR(VLOOKUP("buildings|PM25|Non-fatal heart attacks", US_national_yearly!$D:$AM, 15, FALSE) / VLOOKUP("buildings|PM25|Non-fatal heart attacks", US_national_yearly!$D:$AM, 10, FALSE), 1)</f>
        <v>8.6563336063925078E-3</v>
      </c>
      <c r="H13" s="7">
        <f>$B13 * IFERROR(VLOOKUP("buildings|PM25|Non-fatal heart attacks", US_national_yearly!$D:$AM, 16, FALSE) / VLOOKUP("buildings|PM25|Non-fatal heart attacks", US_national_yearly!$D:$AM, 10, FALSE), 1)</f>
        <v>8.8640381257613036E-3</v>
      </c>
      <c r="I13" s="7">
        <f>$B13 * IFERROR(VLOOKUP("buildings|PM25|Non-fatal heart attacks", US_national_yearly!$D:$AM, 17, FALSE) / VLOOKUP("buildings|PM25|Non-fatal heart attacks", US_national_yearly!$D:$AM, 10, FALSE), 1)</f>
        <v>9.0311525437629103E-3</v>
      </c>
      <c r="J13" s="7">
        <f>$B13 * IFERROR(VLOOKUP("buildings|PM25|Non-fatal heart attacks", US_national_yearly!$D:$AM, 18, FALSE) / VLOOKUP("buildings|PM25|Non-fatal heart attacks", US_national_yearly!$D:$AM, 10, FALSE), 1)</f>
        <v>9.1982669617645188E-3</v>
      </c>
      <c r="K13" s="7">
        <f>$B13 * IFERROR(VLOOKUP("buildings|PM25|Non-fatal heart attacks", US_national_yearly!$D:$AM, 19, FALSE) / VLOOKUP("buildings|PM25|Non-fatal heart attacks", US_national_yearly!$D:$AM, 10, FALSE), 1)</f>
        <v>9.3653813797661238E-3</v>
      </c>
      <c r="L13" s="7">
        <f>$B13 * IFERROR(VLOOKUP("buildings|PM25|Non-fatal heart attacks", US_national_yearly!$D:$AM, 20, FALSE) / VLOOKUP("buildings|PM25|Non-fatal heart attacks", US_national_yearly!$D:$AM, 10, FALSE), 1)</f>
        <v>9.5324957977677288E-3</v>
      </c>
      <c r="M13" s="7">
        <f>$B13 * IFERROR(VLOOKUP("buildings|PM25|Non-fatal heart attacks", US_national_yearly!$D:$AM, 21, FALSE) / VLOOKUP("buildings|PM25|Non-fatal heart attacks", US_national_yearly!$D:$AM, 10, FALSE), 1)</f>
        <v>9.6996102157693356E-3</v>
      </c>
      <c r="N13" s="7">
        <f>$B13 * IFERROR(VLOOKUP("buildings|PM25|Non-fatal heart attacks", US_national_yearly!$D:$AM, 22, FALSE) / VLOOKUP("buildings|PM25|Non-fatal heart attacks", US_national_yearly!$D:$AM, 10, FALSE), 1)</f>
        <v>9.8075687406735355E-3</v>
      </c>
      <c r="O13" s="7">
        <f>$B13 * IFERROR(VLOOKUP("buildings|PM25|Non-fatal heart attacks", US_national_yearly!$D:$AM, 23, FALSE) / VLOOKUP("buildings|PM25|Non-fatal heart attacks", US_national_yearly!$D:$AM, 10, FALSE), 1)</f>
        <v>9.9155272655777338E-3</v>
      </c>
      <c r="P13" s="7">
        <f>$B13 * IFERROR(VLOOKUP("buildings|PM25|Non-fatal heart attacks", US_national_yearly!$D:$AM, 24, FALSE) / VLOOKUP("buildings|PM25|Non-fatal heart attacks", US_national_yearly!$D:$AM, 10, FALSE), 1)</f>
        <v>1.0023485790481932E-2</v>
      </c>
      <c r="Q13" s="7">
        <f>$B13 * IFERROR(VLOOKUP("buildings|PM25|Non-fatal heart attacks", US_national_yearly!$D:$AM, 25, FALSE) / VLOOKUP("buildings|PM25|Non-fatal heart attacks", US_national_yearly!$D:$AM, 10, FALSE), 1)</f>
        <v>1.0131444315386132E-2</v>
      </c>
      <c r="R13" s="7">
        <f>$B13 * IFERROR(VLOOKUP("buildings|PM25|Non-fatal heart attacks", US_national_yearly!$D:$AM, 26, FALSE) / VLOOKUP("buildings|PM25|Non-fatal heart attacks", US_national_yearly!$D:$AM, 10, FALSE), 1)</f>
        <v>1.023940284029033E-2</v>
      </c>
      <c r="S13" s="7">
        <f>$B13 * IFERROR(VLOOKUP("buildings|PM25|Non-fatal heart attacks", US_national_yearly!$D:$AM, 27, FALSE) / VLOOKUP("buildings|PM25|Non-fatal heart attacks", US_national_yearly!$D:$AM, 10, FALSE), 1)</f>
        <v>1.0296503134240421E-2</v>
      </c>
      <c r="T13" s="7">
        <f>$B13 * IFERROR(VLOOKUP("buildings|PM25|Non-fatal heart attacks", US_national_yearly!$D:$AM, 28, FALSE) / VLOOKUP("buildings|PM25|Non-fatal heart attacks", US_national_yearly!$D:$AM, 10, FALSE), 1)</f>
        <v>1.0353603428190514E-2</v>
      </c>
      <c r="U13" s="7">
        <f>$B13 * IFERROR(VLOOKUP("buildings|PM25|Non-fatal heart attacks", US_national_yearly!$D:$AM, 29, FALSE) / VLOOKUP("buildings|PM25|Non-fatal heart attacks", US_national_yearly!$D:$AM, 10, FALSE), 1)</f>
        <v>1.0410703722140608E-2</v>
      </c>
      <c r="V13" s="7">
        <f>$B13 * IFERROR(VLOOKUP("buildings|PM25|Non-fatal heart attacks", US_national_yearly!$D:$AM, 30, FALSE) / VLOOKUP("buildings|PM25|Non-fatal heart attacks", US_national_yearly!$D:$AM, 10, FALSE), 1)</f>
        <v>1.0467804016090699E-2</v>
      </c>
      <c r="W13" s="7">
        <f>$B13 * IFERROR(VLOOKUP("buildings|PM25|Non-fatal heart attacks", US_national_yearly!$D:$AM, 31, FALSE) / VLOOKUP("buildings|PM25|Non-fatal heart attacks", US_national_yearly!$D:$AM, 10, FALSE), 1)</f>
        <v>1.0524904310040792E-2</v>
      </c>
      <c r="X13" s="7">
        <f>$B13 * IFERROR(VLOOKUP("buildings|PM25|Non-fatal heart attacks", US_national_yearly!$D:$AM, 32, FALSE) / VLOOKUP("buildings|PM25|Non-fatal heart attacks", US_national_yearly!$D:$AM, 10, FALSE), 1)</f>
        <v>1.0568361804246511E-2</v>
      </c>
      <c r="Y13" s="7">
        <f>$B13 * IFERROR(VLOOKUP("buildings|PM25|Non-fatal heart attacks", US_national_yearly!$D:$AM, 33, FALSE) / VLOOKUP("buildings|PM25|Non-fatal heart attacks", US_national_yearly!$D:$AM, 10, FALSE), 1)</f>
        <v>1.061181929845223E-2</v>
      </c>
      <c r="Z13" s="7">
        <f>$B13 * IFERROR(VLOOKUP("buildings|PM25|Non-fatal heart attacks", US_national_yearly!$D:$AM, 34, FALSE) / VLOOKUP("buildings|PM25|Non-fatal heart attacks", US_national_yearly!$D:$AM, 10, FALSE), 1)</f>
        <v>1.0655276792657948E-2</v>
      </c>
      <c r="AA13" s="7">
        <f>$B13 * IFERROR(VLOOKUP("buildings|PM25|Non-fatal heart attacks", US_national_yearly!$D:$AM, 35, FALSE) / VLOOKUP("buildings|PM25|Non-fatal heart attacks", US_national_yearly!$D:$AM, 10, FALSE), 1)</f>
        <v>1.0698734286863668E-2</v>
      </c>
      <c r="AB13" s="7">
        <f>$B13 * IFERROR(VLOOKUP("buildings|PM25|Non-fatal heart attacks", US_national_yearly!$D:$AM, 36, FALSE) / VLOOKUP("buildings|PM25|Non-fatal heart attacks", US_national_yearly!$D:$AM, 10, FALSE), 1)</f>
        <v>1.0742191781069388E-2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9.5409570148978649</v>
      </c>
      <c r="C14" s="7">
        <f>$B14 * IFERROR(VLOOKUP("buildings|PM25|Minor restricted activity days", US_national_yearly!$D:$AM, 11, FALSE) / VLOOKUP("buildings|PM25|Minor restricted activity days", US_national_yearly!$D:$AM, 10, FALSE), 1)</f>
        <v>9.5646859098834014</v>
      </c>
      <c r="D14" s="7">
        <f>$B14 * IFERROR(VLOOKUP("buildings|PM25|Minor restricted activity days", US_national_yearly!$D:$AM, 12, FALSE) / VLOOKUP("buildings|PM25|Minor restricted activity days", US_national_yearly!$D:$AM, 10, FALSE), 1)</f>
        <v>9.5884148048689397</v>
      </c>
      <c r="E14" s="7">
        <f>$B14 * IFERROR(VLOOKUP("buildings|PM25|Minor restricted activity days", US_national_yearly!$D:$AM, 13, FALSE) / VLOOKUP("buildings|PM25|Minor restricted activity days", US_national_yearly!$D:$AM, 10, FALSE), 1)</f>
        <v>9.6121436998544763</v>
      </c>
      <c r="F14" s="7">
        <f>$B14 * IFERROR(VLOOKUP("buildings|PM25|Minor restricted activity days", US_national_yearly!$D:$AM, 14, FALSE) / VLOOKUP("buildings|PM25|Minor restricted activity days", US_national_yearly!$D:$AM, 10, FALSE), 1)</f>
        <v>9.635872594840011</v>
      </c>
      <c r="G14" s="7">
        <f>$B14 * IFERROR(VLOOKUP("buildings|PM25|Minor restricted activity days", US_national_yearly!$D:$AM, 15, FALSE) / VLOOKUP("buildings|PM25|Minor restricted activity days", US_national_yearly!$D:$AM, 10, FALSE), 1)</f>
        <v>9.6706756791760995</v>
      </c>
      <c r="H14" s="7">
        <f>$B14 * IFERROR(VLOOKUP("buildings|PM25|Minor restricted activity days", US_national_yearly!$D:$AM, 16, FALSE) / VLOOKUP("buildings|PM25|Minor restricted activity days", US_national_yearly!$D:$AM, 10, FALSE), 1)</f>
        <v>9.7054787635121809</v>
      </c>
      <c r="I14" s="7">
        <f>$B14 * IFERROR(VLOOKUP("buildings|PM25|Minor restricted activity days", US_national_yearly!$D:$AM, 17, FALSE) / VLOOKUP("buildings|PM25|Minor restricted activity days", US_national_yearly!$D:$AM, 10, FALSE), 1)</f>
        <v>9.7646596300287172</v>
      </c>
      <c r="J14" s="7">
        <f>$B14 * IFERROR(VLOOKUP("buildings|PM25|Minor restricted activity days", US_national_yearly!$D:$AM, 18, FALSE) / VLOOKUP("buildings|PM25|Minor restricted activity days", US_national_yearly!$D:$AM, 10, FALSE), 1)</f>
        <v>9.823840496545257</v>
      </c>
      <c r="K14" s="7">
        <f>$B14 * IFERROR(VLOOKUP("buildings|PM25|Minor restricted activity days", US_national_yearly!$D:$AM, 19, FALSE) / VLOOKUP("buildings|PM25|Minor restricted activity days", US_national_yearly!$D:$AM, 10, FALSE), 1)</f>
        <v>9.8830213630617898</v>
      </c>
      <c r="L14" s="7">
        <f>$B14 * IFERROR(VLOOKUP("buildings|PM25|Minor restricted activity days", US_national_yearly!$D:$AM, 20, FALSE) / VLOOKUP("buildings|PM25|Minor restricted activity days", US_national_yearly!$D:$AM, 10, FALSE), 1)</f>
        <v>9.9422022295783243</v>
      </c>
      <c r="M14" s="7">
        <f>$B14 * IFERROR(VLOOKUP("buildings|PM25|Minor restricted activity days", US_national_yearly!$D:$AM, 21, FALSE) / VLOOKUP("buildings|PM25|Minor restricted activity days", US_national_yearly!$D:$AM, 10, FALSE), 1)</f>
        <v>10.001383096094857</v>
      </c>
      <c r="N14" s="7">
        <f>$B14 * IFERROR(VLOOKUP("buildings|PM25|Minor restricted activity days", US_national_yearly!$D:$AM, 22, FALSE) / VLOOKUP("buildings|PM25|Minor restricted activity days", US_national_yearly!$D:$AM, 10, FALSE), 1)</f>
        <v>10.081795615496295</v>
      </c>
      <c r="O14" s="7">
        <f>$B14 * IFERROR(VLOOKUP("buildings|PM25|Minor restricted activity days", US_national_yearly!$D:$AM, 23, FALSE) / VLOOKUP("buildings|PM25|Minor restricted activity days", US_national_yearly!$D:$AM, 10, FALSE), 1)</f>
        <v>10.162208134897732</v>
      </c>
      <c r="P14" s="7">
        <f>$B14 * IFERROR(VLOOKUP("buildings|PM25|Minor restricted activity days", US_national_yearly!$D:$AM, 24, FALSE) / VLOOKUP("buildings|PM25|Minor restricted activity days", US_national_yearly!$D:$AM, 10, FALSE), 1)</f>
        <v>10.242620654299168</v>
      </c>
      <c r="Q14" s="7">
        <f>$B14 * IFERROR(VLOOKUP("buildings|PM25|Minor restricted activity days", US_national_yearly!$D:$AM, 25, FALSE) / VLOOKUP("buildings|PM25|Minor restricted activity days", US_national_yearly!$D:$AM, 10, FALSE), 1)</f>
        <v>10.323033173700603</v>
      </c>
      <c r="R14" s="7">
        <f>$B14 * IFERROR(VLOOKUP("buildings|PM25|Minor restricted activity days", US_national_yearly!$D:$AM, 26, FALSE) / VLOOKUP("buildings|PM25|Minor restricted activity days", US_national_yearly!$D:$AM, 10, FALSE), 1)</f>
        <v>10.403445693102039</v>
      </c>
      <c r="S14" s="7">
        <f>$B14 * IFERROR(VLOOKUP("buildings|PM25|Minor restricted activity days", US_national_yearly!$D:$AM, 27, FALSE) / VLOOKUP("buildings|PM25|Minor restricted activity days", US_national_yearly!$D:$AM, 10, FALSE), 1)</f>
        <v>10.484356533236138</v>
      </c>
      <c r="T14" s="7">
        <f>$B14 * IFERROR(VLOOKUP("buildings|PM25|Minor restricted activity days", US_national_yearly!$D:$AM, 28, FALSE) / VLOOKUP("buildings|PM25|Minor restricted activity days", US_national_yearly!$D:$AM, 10, FALSE), 1)</f>
        <v>10.565267373370235</v>
      </c>
      <c r="U14" s="7">
        <f>$B14 * IFERROR(VLOOKUP("buildings|PM25|Minor restricted activity days", US_national_yearly!$D:$AM, 29, FALSE) / VLOOKUP("buildings|PM25|Minor restricted activity days", US_national_yearly!$D:$AM, 10, FALSE), 1)</f>
        <v>10.646178213504331</v>
      </c>
      <c r="V14" s="7">
        <f>$B14 * IFERROR(VLOOKUP("buildings|PM25|Minor restricted activity days", US_national_yearly!$D:$AM, 30, FALSE) / VLOOKUP("buildings|PM25|Minor restricted activity days", US_national_yearly!$D:$AM, 10, FALSE), 1)</f>
        <v>10.727089053638428</v>
      </c>
      <c r="W14" s="7">
        <f>$B14 * IFERROR(VLOOKUP("buildings|PM25|Minor restricted activity days", US_national_yearly!$D:$AM, 31, FALSE) / VLOOKUP("buildings|PM25|Minor restricted activity days", US_national_yearly!$D:$AM, 10, FALSE), 1)</f>
        <v>10.807999893772527</v>
      </c>
      <c r="X14" s="7">
        <f>$B14 * IFERROR(VLOOKUP("buildings|PM25|Minor restricted activity days", US_national_yearly!$D:$AM, 32, FALSE) / VLOOKUP("buildings|PM25|Minor restricted activity days", US_national_yearly!$D:$AM, 10, FALSE), 1)</f>
        <v>10.878255228581626</v>
      </c>
      <c r="Y14" s="7">
        <f>$B14 * IFERROR(VLOOKUP("buildings|PM25|Minor restricted activity days", US_national_yearly!$D:$AM, 33, FALSE) / VLOOKUP("buildings|PM25|Minor restricted activity days", US_national_yearly!$D:$AM, 10, FALSE), 1)</f>
        <v>10.948510563390721</v>
      </c>
      <c r="Z14" s="7">
        <f>$B14 * IFERROR(VLOOKUP("buildings|PM25|Minor restricted activity days", US_national_yearly!$D:$AM, 34, FALSE) / VLOOKUP("buildings|PM25|Minor restricted activity days", US_national_yearly!$D:$AM, 10, FALSE), 1)</f>
        <v>11.018765898199817</v>
      </c>
      <c r="AA14" s="7">
        <f>$B14 * IFERROR(VLOOKUP("buildings|PM25|Minor restricted activity days", US_national_yearly!$D:$AM, 35, FALSE) / VLOOKUP("buildings|PM25|Minor restricted activity days", US_national_yearly!$D:$AM, 10, FALSE), 1)</f>
        <v>11.089021233008912</v>
      </c>
      <c r="AB14" s="7">
        <f>$B14 * IFERROR(VLOOKUP("buildings|PM25|Minor restricted activity days", US_national_yearly!$D:$AM, 36, FALSE) / VLOOKUP("buildings|PM25|Minor restricted activity days", US_national_yearly!$D:$AM, 10, FALSE), 1)</f>
        <v>11.15927656781801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1.6349976550767031</v>
      </c>
      <c r="C15" s="7">
        <f>$B15 * IFERROR(VLOOKUP("buildings|PM25|Work loss days", US_national_yearly!$D:$AM, 11, FALSE) / VLOOKUP("buildings|PM25|Work loss days", US_national_yearly!$D:$AM, 10, FALSE), 1)</f>
        <v>1.6401286303221223</v>
      </c>
      <c r="D15" s="7">
        <f>$B15 * IFERROR(VLOOKUP("buildings|PM25|Work loss days", US_national_yearly!$D:$AM, 12, FALSE) / VLOOKUP("buildings|PM25|Work loss days", US_national_yearly!$D:$AM, 10, FALSE), 1)</f>
        <v>1.645259605567541</v>
      </c>
      <c r="E15" s="7">
        <f>$B15 * IFERROR(VLOOKUP("buildings|PM25|Work loss days", US_national_yearly!$D:$AM, 13, FALSE) / VLOOKUP("buildings|PM25|Work loss days", US_national_yearly!$D:$AM, 10, FALSE), 1)</f>
        <v>1.6503905808129598</v>
      </c>
      <c r="F15" s="7">
        <f>$B15 * IFERROR(VLOOKUP("buildings|PM25|Work loss days", US_national_yearly!$D:$AM, 14, FALSE) / VLOOKUP("buildings|PM25|Work loss days", US_national_yearly!$D:$AM, 10, FALSE), 1)</f>
        <v>1.6555215560583785</v>
      </c>
      <c r="G15" s="7">
        <f>$B15 * IFERROR(VLOOKUP("buildings|PM25|Work loss days", US_national_yearly!$D:$AM, 15, FALSE) / VLOOKUP("buildings|PM25|Work loss days", US_national_yearly!$D:$AM, 10, FALSE), 1)</f>
        <v>1.6622282005120625</v>
      </c>
      <c r="H15" s="7">
        <f>$B15 * IFERROR(VLOOKUP("buildings|PM25|Work loss days", US_national_yearly!$D:$AM, 16, FALSE) / VLOOKUP("buildings|PM25|Work loss days", US_national_yearly!$D:$AM, 10, FALSE), 1)</f>
        <v>1.6689348449657466</v>
      </c>
      <c r="I15" s="7">
        <f>$B15 * IFERROR(VLOOKUP("buildings|PM25|Work loss days", US_national_yearly!$D:$AM, 17, FALSE) / VLOOKUP("buildings|PM25|Work loss days", US_national_yearly!$D:$AM, 10, FALSE), 1)</f>
        <v>1.6787846676960725</v>
      </c>
      <c r="J15" s="7">
        <f>$B15 * IFERROR(VLOOKUP("buildings|PM25|Work loss days", US_national_yearly!$D:$AM, 18, FALSE) / VLOOKUP("buildings|PM25|Work loss days", US_national_yearly!$D:$AM, 10, FALSE), 1)</f>
        <v>1.6886344904263986</v>
      </c>
      <c r="K15" s="7">
        <f>$B15 * IFERROR(VLOOKUP("buildings|PM25|Work loss days", US_national_yearly!$D:$AM, 19, FALSE) / VLOOKUP("buildings|PM25|Work loss days", US_national_yearly!$D:$AM, 10, FALSE), 1)</f>
        <v>1.6984843131567244</v>
      </c>
      <c r="L15" s="7">
        <f>$B15 * IFERROR(VLOOKUP("buildings|PM25|Work loss days", US_national_yearly!$D:$AM, 20, FALSE) / VLOOKUP("buildings|PM25|Work loss days", US_national_yearly!$D:$AM, 10, FALSE), 1)</f>
        <v>1.7083341358870503</v>
      </c>
      <c r="M15" s="7">
        <f>$B15 * IFERROR(VLOOKUP("buildings|PM25|Work loss days", US_national_yearly!$D:$AM, 21, FALSE) / VLOOKUP("buildings|PM25|Work loss days", US_national_yearly!$D:$AM, 10, FALSE), 1)</f>
        <v>1.7181839586173764</v>
      </c>
      <c r="N15" s="7">
        <f>$B15 * IFERROR(VLOOKUP("buildings|PM25|Work loss days", US_national_yearly!$D:$AM, 22, FALSE) / VLOOKUP("buildings|PM25|Work loss days", US_national_yearly!$D:$AM, 10, FALSE), 1)</f>
        <v>1.7305678002124374</v>
      </c>
      <c r="O15" s="7">
        <f>$B15 * IFERROR(VLOOKUP("buildings|PM25|Work loss days", US_national_yearly!$D:$AM, 23, FALSE) / VLOOKUP("buildings|PM25|Work loss days", US_national_yearly!$D:$AM, 10, FALSE), 1)</f>
        <v>1.7429516418074986</v>
      </c>
      <c r="P15" s="7">
        <f>$B15 * IFERROR(VLOOKUP("buildings|PM25|Work loss days", US_national_yearly!$D:$AM, 24, FALSE) / VLOOKUP("buildings|PM25|Work loss days", US_national_yearly!$D:$AM, 10, FALSE), 1)</f>
        <v>1.7553354834025596</v>
      </c>
      <c r="Q15" s="7">
        <f>$B15 * IFERROR(VLOOKUP("buildings|PM25|Work loss days", US_national_yearly!$D:$AM, 25, FALSE) / VLOOKUP("buildings|PM25|Work loss days", US_national_yearly!$D:$AM, 10, FALSE), 1)</f>
        <v>1.7677193249976204</v>
      </c>
      <c r="R15" s="7">
        <f>$B15 * IFERROR(VLOOKUP("buildings|PM25|Work loss days", US_national_yearly!$D:$AM, 26, FALSE) / VLOOKUP("buildings|PM25|Work loss days", US_national_yearly!$D:$AM, 10, FALSE), 1)</f>
        <v>1.7801031665926816</v>
      </c>
      <c r="S15" s="7">
        <f>$B15 * IFERROR(VLOOKUP("buildings|PM25|Work loss days", US_national_yearly!$D:$AM, 27, FALSE) / VLOOKUP("buildings|PM25|Work loss days", US_national_yearly!$D:$AM, 10, FALSE), 1)</f>
        <v>1.7937826587404915</v>
      </c>
      <c r="T15" s="7">
        <f>$B15 * IFERROR(VLOOKUP("buildings|PM25|Work loss days", US_national_yearly!$D:$AM, 28, FALSE) / VLOOKUP("buildings|PM25|Work loss days", US_national_yearly!$D:$AM, 10, FALSE), 1)</f>
        <v>1.8074621508883015</v>
      </c>
      <c r="U15" s="7">
        <f>$B15 * IFERROR(VLOOKUP("buildings|PM25|Work loss days", US_national_yearly!$D:$AM, 29, FALSE) / VLOOKUP("buildings|PM25|Work loss days", US_national_yearly!$D:$AM, 10, FALSE), 1)</f>
        <v>1.8211416430361116</v>
      </c>
      <c r="V15" s="7">
        <f>$B15 * IFERROR(VLOOKUP("buildings|PM25|Work loss days", US_national_yearly!$D:$AM, 30, FALSE) / VLOOKUP("buildings|PM25|Work loss days", US_national_yearly!$D:$AM, 10, FALSE), 1)</f>
        <v>1.8348211351839212</v>
      </c>
      <c r="W15" s="7">
        <f>$B15 * IFERROR(VLOOKUP("buildings|PM25|Work loss days", US_national_yearly!$D:$AM, 31, FALSE) / VLOOKUP("buildings|PM25|Work loss days", US_national_yearly!$D:$AM, 10, FALSE), 1)</f>
        <v>1.8485006273317313</v>
      </c>
      <c r="X15" s="7">
        <f>$B15 * IFERROR(VLOOKUP("buildings|PM25|Work loss days", US_national_yearly!$D:$AM, 32, FALSE) / VLOOKUP("buildings|PM25|Work loss days", US_national_yearly!$D:$AM, 10, FALSE), 1)</f>
        <v>1.8606398728285796</v>
      </c>
      <c r="Y15" s="7">
        <f>$B15 * IFERROR(VLOOKUP("buildings|PM25|Work loss days", US_national_yearly!$D:$AM, 33, FALSE) / VLOOKUP("buildings|PM25|Work loss days", US_national_yearly!$D:$AM, 10, FALSE), 1)</f>
        <v>1.8727791183254283</v>
      </c>
      <c r="Z15" s="7">
        <f>$B15 * IFERROR(VLOOKUP("buildings|PM25|Work loss days", US_national_yearly!$D:$AM, 34, FALSE) / VLOOKUP("buildings|PM25|Work loss days", US_national_yearly!$D:$AM, 10, FALSE), 1)</f>
        <v>1.8849183638222764</v>
      </c>
      <c r="AA15" s="7">
        <f>$B15 * IFERROR(VLOOKUP("buildings|PM25|Work loss days", US_national_yearly!$D:$AM, 35, FALSE) / VLOOKUP("buildings|PM25|Work loss days", US_national_yearly!$D:$AM, 10, FALSE), 1)</f>
        <v>1.8970576093191251</v>
      </c>
      <c r="AB15" s="7">
        <f>$B15 * IFERROR(VLOOKUP("buildings|PM25|Work loss days", US_national_yearly!$D:$AM, 36, FALSE) / VLOOKUP("buildings|PM25|Work loss days", US_national_yearly!$D:$AM, 10, FALSE), 1)</f>
        <v>1.9091968548159735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1.4279659315098064E-3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1.470642616421033E-3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1.5133193013322599E-3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1.5559959862434863E-3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1.598672671154713E-3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1.6395633953233636E-3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1.6804541194920142E-3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1.7154603416585654E-3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1.7504665638251164E-3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1.7854727859916676E-3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1.820479008158219E-3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1.8554852303247704E-3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1.8788606631643058E-3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1.9022360960038415E-3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1.9256115288433769E-3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1.9489869616829128E-3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1.9723623945224482E-3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1.9847833150567189E-3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1.9972042355909892E-3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2.0096251561252595E-3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2.0220460766595299E-3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2.034466997193801E-3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2.042865483292296E-3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2.0512639693907905E-3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2.0596624554892855E-3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2.0680609415877804E-3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2.0764594276862754E-3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1.2558457324994621E-3</v>
      </c>
      <c r="C2" s="7">
        <f>$B2 * IFERROR(VLOOKUP("buildings|NOx|Premature mortality", US_national_yearly!$D:$AM, 11, FALSE) / VLOOKUP("buildings|NOx|Premature mortality", US_national_yearly!$D:$AM, 10, FALSE), 1)</f>
        <v>1.2743175704533402E-3</v>
      </c>
      <c r="D2" s="7">
        <f>$B2 * IFERROR(VLOOKUP("buildings|NOx|Premature mortality", US_national_yearly!$D:$AM, 12, FALSE) / VLOOKUP("buildings|NOx|Premature mortality", US_national_yearly!$D:$AM, 10, FALSE), 1)</f>
        <v>1.2927894084072183E-3</v>
      </c>
      <c r="E2" s="7">
        <f>$B2 * IFERROR(VLOOKUP("buildings|NOx|Premature mortality", US_national_yearly!$D:$AM, 13, FALSE) / VLOOKUP("buildings|NOx|Premature mortality", US_national_yearly!$D:$AM, 10, FALSE), 1)</f>
        <v>1.3112612463610964E-3</v>
      </c>
      <c r="F2" s="7">
        <f>$B2 * IFERROR(VLOOKUP("buildings|NOx|Premature mortality", US_national_yearly!$D:$AM, 14, FALSE) / VLOOKUP("buildings|NOx|Premature mortality", US_national_yearly!$D:$AM, 10, FALSE), 1)</f>
        <v>1.3297330843149743E-3</v>
      </c>
      <c r="G2" s="7">
        <f>$B2 * IFERROR(VLOOKUP("buildings|NOx|Premature mortality", US_national_yearly!$D:$AM, 15, FALSE) / VLOOKUP("buildings|NOx|Premature mortality", US_national_yearly!$D:$AM, 10, FALSE), 1)</f>
        <v>1.3628967270879371E-3</v>
      </c>
      <c r="H2" s="7">
        <f>$B2 * IFERROR(VLOOKUP("buildings|NOx|Premature mortality", US_national_yearly!$D:$AM, 16, FALSE) / VLOOKUP("buildings|NOx|Premature mortality", US_national_yearly!$D:$AM, 10, FALSE), 1)</f>
        <v>1.3960603698608999E-3</v>
      </c>
      <c r="I2" s="7">
        <f>$B2 * IFERROR(VLOOKUP("buildings|NOx|Premature mortality", US_national_yearly!$D:$AM, 17, FALSE) / VLOOKUP("buildings|NOx|Premature mortality", US_national_yearly!$D:$AM, 10, FALSE), 1)</f>
        <v>1.4174925022752867E-3</v>
      </c>
      <c r="J2" s="7">
        <f>$B2 * IFERROR(VLOOKUP("buildings|NOx|Premature mortality", US_national_yearly!$D:$AM, 18, FALSE) / VLOOKUP("buildings|NOx|Premature mortality", US_national_yearly!$D:$AM, 10, FALSE), 1)</f>
        <v>1.4389246346896731E-3</v>
      </c>
      <c r="K2" s="7">
        <f>$B2 * IFERROR(VLOOKUP("buildings|NOx|Premature mortality", US_national_yearly!$D:$AM, 19, FALSE) / VLOOKUP("buildings|NOx|Premature mortality", US_national_yearly!$D:$AM, 10, FALSE), 1)</f>
        <v>1.4603567671040599E-3</v>
      </c>
      <c r="L2" s="7">
        <f>$B2 * IFERROR(VLOOKUP("buildings|NOx|Premature mortality", US_national_yearly!$D:$AM, 20, FALSE) / VLOOKUP("buildings|NOx|Premature mortality", US_national_yearly!$D:$AM, 10, FALSE), 1)</f>
        <v>1.4817888995184466E-3</v>
      </c>
      <c r="M2" s="7">
        <f>$B2 * IFERROR(VLOOKUP("buildings|NOx|Premature mortality", US_national_yearly!$D:$AM, 21, FALSE) / VLOOKUP("buildings|NOx|Premature mortality", US_national_yearly!$D:$AM, 10, FALSE), 1)</f>
        <v>1.5032210319328334E-3</v>
      </c>
      <c r="N2" s="7">
        <f>$B2 * IFERROR(VLOOKUP("buildings|NOx|Premature mortality", US_national_yearly!$D:$AM, 22, FALSE) / VLOOKUP("buildings|NOx|Premature mortality", US_national_yearly!$D:$AM, 10, FALSE), 1)</f>
        <v>1.519101423921149E-3</v>
      </c>
      <c r="O2" s="7">
        <f>$B2 * IFERROR(VLOOKUP("buildings|NOx|Premature mortality", US_national_yearly!$D:$AM, 23, FALSE) / VLOOKUP("buildings|NOx|Premature mortality", US_national_yearly!$D:$AM, 10, FALSE), 1)</f>
        <v>1.5349818159094649E-3</v>
      </c>
      <c r="P2" s="7">
        <f>$B2 * IFERROR(VLOOKUP("buildings|NOx|Premature mortality", US_national_yearly!$D:$AM, 24, FALSE) / VLOOKUP("buildings|NOx|Premature mortality", US_national_yearly!$D:$AM, 10, FALSE), 1)</f>
        <v>1.5508622078977809E-3</v>
      </c>
      <c r="Q2" s="7">
        <f>$B2 * IFERROR(VLOOKUP("buildings|NOx|Premature mortality", US_national_yearly!$D:$AM, 25, FALSE) / VLOOKUP("buildings|NOx|Premature mortality", US_national_yearly!$D:$AM, 10, FALSE), 1)</f>
        <v>1.5667425998860964E-3</v>
      </c>
      <c r="R2" s="7">
        <f>$B2 * IFERROR(VLOOKUP("buildings|NOx|Premature mortality", US_national_yearly!$D:$AM, 26, FALSE) / VLOOKUP("buildings|NOx|Premature mortality", US_national_yearly!$D:$AM, 10, FALSE), 1)</f>
        <v>1.5826229918744124E-3</v>
      </c>
      <c r="S2" s="7">
        <f>$B2 * IFERROR(VLOOKUP("buildings|NOx|Premature mortality", US_national_yearly!$D:$AM, 27, FALSE) / VLOOKUP("buildings|NOx|Premature mortality", US_national_yearly!$D:$AM, 10, FALSE), 1)</f>
        <v>1.5898428441676344E-3</v>
      </c>
      <c r="T2" s="7">
        <f>$B2 * IFERROR(VLOOKUP("buildings|NOx|Premature mortality", US_national_yearly!$D:$AM, 28, FALSE) / VLOOKUP("buildings|NOx|Premature mortality", US_national_yearly!$D:$AM, 10, FALSE), 1)</f>
        <v>1.5970626964608562E-3</v>
      </c>
      <c r="U2" s="7">
        <f>$B2 * IFERROR(VLOOKUP("buildings|NOx|Premature mortality", US_national_yearly!$D:$AM, 29, FALSE) / VLOOKUP("buildings|NOx|Premature mortality", US_national_yearly!$D:$AM, 10, FALSE), 1)</f>
        <v>1.6042825487540783E-3</v>
      </c>
      <c r="V2" s="7">
        <f>$B2 * IFERROR(VLOOKUP("buildings|NOx|Premature mortality", US_national_yearly!$D:$AM, 30, FALSE) / VLOOKUP("buildings|NOx|Premature mortality", US_national_yearly!$D:$AM, 10, FALSE), 1)</f>
        <v>1.6115024010473005E-3</v>
      </c>
      <c r="W2" s="7">
        <f>$B2 * IFERROR(VLOOKUP("buildings|NOx|Premature mortality", US_national_yearly!$D:$AM, 31, FALSE) / VLOOKUP("buildings|NOx|Premature mortality", US_national_yearly!$D:$AM, 10, FALSE), 1)</f>
        <v>1.6187222533405221E-3</v>
      </c>
      <c r="X2" s="7">
        <f>$B2 * IFERROR(VLOOKUP("buildings|NOx|Premature mortality", US_national_yearly!$D:$AM, 32, FALSE) / VLOOKUP("buildings|NOx|Premature mortality", US_national_yearly!$D:$AM, 10, FALSE), 1)</f>
        <v>1.6189765306528928E-3</v>
      </c>
      <c r="Y2" s="7">
        <f>$B2 * IFERROR(VLOOKUP("buildings|NOx|Premature mortality", US_national_yearly!$D:$AM, 33, FALSE) / VLOOKUP("buildings|NOx|Premature mortality", US_national_yearly!$D:$AM, 10, FALSE), 1)</f>
        <v>1.6192308079652632E-3</v>
      </c>
      <c r="Z2" s="7">
        <f>$B2 * IFERROR(VLOOKUP("buildings|NOx|Premature mortality", US_national_yearly!$D:$AM, 34, FALSE) / VLOOKUP("buildings|NOx|Premature mortality", US_national_yearly!$D:$AM, 10, FALSE), 1)</f>
        <v>1.6194850852776336E-3</v>
      </c>
      <c r="AA2" s="7">
        <f>$B2 * IFERROR(VLOOKUP("buildings|NOx|Premature mortality", US_national_yearly!$D:$AM, 35, FALSE) / VLOOKUP("buildings|NOx|Premature mortality", US_national_yearly!$D:$AM, 10, FALSE), 1)</f>
        <v>1.6197393625900036E-3</v>
      </c>
      <c r="AB2" s="7">
        <f>$B2 * IFERROR(VLOOKUP("buildings|NOx|Premature mortality", US_national_yearly!$D:$AM, 36, FALSE) / VLOOKUP("buildings|NOx|Premature mortality", US_national_yearly!$D:$AM, 10, FALSE), 1)</f>
        <v>1.6199936399023745E-3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5.9193329027024228E-6</v>
      </c>
      <c r="C3" s="7">
        <f>$B3 * IFERROR(VLOOKUP("buildings|NOx|Infant mortality", US_national_yearly!$D:$AM, 11, FALSE) / VLOOKUP("buildings|NOx|Infant mortality", US_national_yearly!$D:$AM, 10, FALSE), 1)</f>
        <v>5.8631061872722706E-6</v>
      </c>
      <c r="D3" s="7">
        <f>$B3 * IFERROR(VLOOKUP("buildings|NOx|Infant mortality", US_national_yearly!$D:$AM, 12, FALSE) / VLOOKUP("buildings|NOx|Infant mortality", US_national_yearly!$D:$AM, 10, FALSE), 1)</f>
        <v>5.8068794718421176E-6</v>
      </c>
      <c r="E3" s="7">
        <f>$B3 * IFERROR(VLOOKUP("buildings|NOx|Infant mortality", US_national_yearly!$D:$AM, 13, FALSE) / VLOOKUP("buildings|NOx|Infant mortality", US_national_yearly!$D:$AM, 10, FALSE), 1)</f>
        <v>5.7506527564119655E-6</v>
      </c>
      <c r="F3" s="7">
        <f>$B3 * IFERROR(VLOOKUP("buildings|NOx|Infant mortality", US_national_yearly!$D:$AM, 14, FALSE) / VLOOKUP("buildings|NOx|Infant mortality", US_national_yearly!$D:$AM, 10, FALSE), 1)</f>
        <v>5.6944260409818125E-6</v>
      </c>
      <c r="G3" s="7">
        <f>$B3 * IFERROR(VLOOKUP("buildings|NOx|Infant mortality", US_national_yearly!$D:$AM, 15, FALSE) / VLOOKUP("buildings|NOx|Infant mortality", US_national_yearly!$D:$AM, 10, FALSE), 1)</f>
        <v>3.7796038030788983E-6</v>
      </c>
      <c r="H3" s="7">
        <f>$B3 * IFERROR(VLOOKUP("buildings|NOx|Infant mortality", US_national_yearly!$D:$AM, 16, FALSE) / VLOOKUP("buildings|NOx|Infant mortality", US_national_yearly!$D:$AM, 10, FALSE), 1)</f>
        <v>1.8647815651759845E-6</v>
      </c>
      <c r="I3" s="7">
        <f>$B3 * IFERROR(VLOOKUP("buildings|NOx|Infant mortality", US_national_yearly!$D:$AM, 17, FALSE) / VLOOKUP("buildings|NOx|Infant mortality", US_national_yearly!$D:$AM, 10, FALSE), 1)</f>
        <v>1.8516077069493575E-6</v>
      </c>
      <c r="J3" s="7">
        <f>$B3 * IFERROR(VLOOKUP("buildings|NOx|Infant mortality", US_national_yearly!$D:$AM, 18, FALSE) / VLOOKUP("buildings|NOx|Infant mortality", US_national_yearly!$D:$AM, 10, FALSE), 1)</f>
        <v>1.8384338487227302E-6</v>
      </c>
      <c r="K3" s="7">
        <f>$B3 * IFERROR(VLOOKUP("buildings|NOx|Infant mortality", US_national_yearly!$D:$AM, 19, FALSE) / VLOOKUP("buildings|NOx|Infant mortality", US_national_yearly!$D:$AM, 10, FALSE), 1)</f>
        <v>1.8252599904961032E-6</v>
      </c>
      <c r="L3" s="7">
        <f>$B3 * IFERROR(VLOOKUP("buildings|NOx|Infant mortality", US_national_yearly!$D:$AM, 20, FALSE) / VLOOKUP("buildings|NOx|Infant mortality", US_national_yearly!$D:$AM, 10, FALSE), 1)</f>
        <v>1.8120861322694764E-6</v>
      </c>
      <c r="M3" s="7">
        <f>$B3 * IFERROR(VLOOKUP("buildings|NOx|Infant mortality", US_national_yearly!$D:$AM, 21, FALSE) / VLOOKUP("buildings|NOx|Infant mortality", US_national_yearly!$D:$AM, 10, FALSE), 1)</f>
        <v>1.7989122740428492E-6</v>
      </c>
      <c r="N3" s="7">
        <f>$B3 * IFERROR(VLOOKUP("buildings|NOx|Infant mortality", US_national_yearly!$D:$AM, 22, FALSE) / VLOOKUP("buildings|NOx|Infant mortality", US_national_yearly!$D:$AM, 10, FALSE), 1)</f>
        <v>1.7901826957994219E-6</v>
      </c>
      <c r="O3" s="7">
        <f>$B3 * IFERROR(VLOOKUP("buildings|NOx|Infant mortality", US_national_yearly!$D:$AM, 23, FALSE) / VLOOKUP("buildings|NOx|Infant mortality", US_national_yearly!$D:$AM, 10, FALSE), 1)</f>
        <v>1.7814531175559948E-6</v>
      </c>
      <c r="P3" s="7">
        <f>$B3 * IFERROR(VLOOKUP("buildings|NOx|Infant mortality", US_national_yearly!$D:$AM, 24, FALSE) / VLOOKUP("buildings|NOx|Infant mortality", US_national_yearly!$D:$AM, 10, FALSE), 1)</f>
        <v>1.7727235393125676E-6</v>
      </c>
      <c r="Q3" s="7">
        <f>$B3 * IFERROR(VLOOKUP("buildings|NOx|Infant mortality", US_national_yearly!$D:$AM, 25, FALSE) / VLOOKUP("buildings|NOx|Infant mortality", US_national_yearly!$D:$AM, 10, FALSE), 1)</f>
        <v>1.7639939610691407E-6</v>
      </c>
      <c r="R3" s="7">
        <f>$B3 * IFERROR(VLOOKUP("buildings|NOx|Infant mortality", US_national_yearly!$D:$AM, 26, FALSE) / VLOOKUP("buildings|NOx|Infant mortality", US_national_yearly!$D:$AM, 10, FALSE), 1)</f>
        <v>1.7552643828257135E-6</v>
      </c>
      <c r="S3" s="7">
        <f>$B3 * IFERROR(VLOOKUP("buildings|NOx|Infant mortality", US_national_yearly!$D:$AM, 27, FALSE) / VLOOKUP("buildings|NOx|Infant mortality", US_national_yearly!$D:$AM, 10, FALSE), 1)</f>
        <v>1.744763257738084E-6</v>
      </c>
      <c r="T3" s="7">
        <f>$B3 * IFERROR(VLOOKUP("buildings|NOx|Infant mortality", US_national_yearly!$D:$AM, 28, FALSE) / VLOOKUP("buildings|NOx|Infant mortality", US_national_yearly!$D:$AM, 10, FALSE), 1)</f>
        <v>1.7342621326504549E-6</v>
      </c>
      <c r="U3" s="7">
        <f>$B3 * IFERROR(VLOOKUP("buildings|NOx|Infant mortality", US_national_yearly!$D:$AM, 29, FALSE) / VLOOKUP("buildings|NOx|Infant mortality", US_national_yearly!$D:$AM, 10, FALSE), 1)</f>
        <v>1.7237610075628255E-6</v>
      </c>
      <c r="V3" s="7">
        <f>$B3 * IFERROR(VLOOKUP("buildings|NOx|Infant mortality", US_national_yearly!$D:$AM, 30, FALSE) / VLOOKUP("buildings|NOx|Infant mortality", US_national_yearly!$D:$AM, 10, FALSE), 1)</f>
        <v>1.713259882475196E-6</v>
      </c>
      <c r="W3" s="7">
        <f>$B3 * IFERROR(VLOOKUP("buildings|NOx|Infant mortality", US_national_yearly!$D:$AM, 31, FALSE) / VLOOKUP("buildings|NOx|Infant mortality", US_national_yearly!$D:$AM, 10, FALSE), 1)</f>
        <v>1.7027587573875667E-6</v>
      </c>
      <c r="X3" s="7">
        <f>$B3 * IFERROR(VLOOKUP("buildings|NOx|Infant mortality", US_national_yearly!$D:$AM, 32, FALSE) / VLOOKUP("buildings|NOx|Infant mortality", US_national_yearly!$D:$AM, 10, FALSE), 1)</f>
        <v>1.6916476466828901E-6</v>
      </c>
      <c r="Y3" s="7">
        <f>$B3 * IFERROR(VLOOKUP("buildings|NOx|Infant mortality", US_national_yearly!$D:$AM, 33, FALSE) / VLOOKUP("buildings|NOx|Infant mortality", US_national_yearly!$D:$AM, 10, FALSE), 1)</f>
        <v>1.6805365359782139E-6</v>
      </c>
      <c r="Z3" s="7">
        <f>$B3 * IFERROR(VLOOKUP("buildings|NOx|Infant mortality", US_national_yearly!$D:$AM, 34, FALSE) / VLOOKUP("buildings|NOx|Infant mortality", US_national_yearly!$D:$AM, 10, FALSE), 1)</f>
        <v>1.6694254252735373E-6</v>
      </c>
      <c r="AA3" s="7">
        <f>$B3 * IFERROR(VLOOKUP("buildings|NOx|Infant mortality", US_national_yearly!$D:$AM, 35, FALSE) / VLOOKUP("buildings|NOx|Infant mortality", US_national_yearly!$D:$AM, 10, FALSE), 1)</f>
        <v>1.6583143145688607E-6</v>
      </c>
      <c r="AB3" s="7">
        <f>$B3 * IFERROR(VLOOKUP("buildings|NOx|Infant mortality", US_national_yearly!$D:$AM, 36, FALSE) / VLOOKUP("buildings|NOx|Infant mortality", US_national_yearly!$D:$AM, 10, FALSE), 1)</f>
        <v>1.647203203864184E-6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6.4398845392244193E-3</v>
      </c>
      <c r="C6" s="7">
        <f>$B6 * IFERROR(VLOOKUP("buildings|NOx|Asthma symptoms cough", US_national_yearly!$D:$AM, 11, FALSE) / VLOOKUP("buildings|NOx|Asthma symptoms cough", US_national_yearly!$D:$AM, 10, FALSE), 1)</f>
        <v>6.5280161132491828E-3</v>
      </c>
      <c r="D6" s="7">
        <f>$B6 * IFERROR(VLOOKUP("buildings|NOx|Asthma symptoms cough", US_national_yearly!$D:$AM, 12, FALSE) / VLOOKUP("buildings|NOx|Asthma symptoms cough", US_national_yearly!$D:$AM, 10, FALSE), 1)</f>
        <v>6.616147687273948E-3</v>
      </c>
      <c r="E6" s="7">
        <f>$B6 * IFERROR(VLOOKUP("buildings|NOx|Asthma symptoms cough", US_national_yearly!$D:$AM, 13, FALSE) / VLOOKUP("buildings|NOx|Asthma symptoms cough", US_national_yearly!$D:$AM, 10, FALSE), 1)</f>
        <v>6.7042792612987123E-3</v>
      </c>
      <c r="F6" s="7">
        <f>$B6 * IFERROR(VLOOKUP("buildings|NOx|Asthma symptoms cough", US_national_yearly!$D:$AM, 14, FALSE) / VLOOKUP("buildings|NOx|Asthma symptoms cough", US_national_yearly!$D:$AM, 10, FALSE), 1)</f>
        <v>6.7924108353234758E-3</v>
      </c>
      <c r="G6" s="7">
        <f>$B6 * IFERROR(VLOOKUP("buildings|NOx|Asthma symptoms cough", US_national_yearly!$D:$AM, 15, FALSE) / VLOOKUP("buildings|NOx|Asthma symptoms cough", US_national_yearly!$D:$AM, 10, FALSE), 1)</f>
        <v>6.8628444770296466E-3</v>
      </c>
      <c r="H6" s="7">
        <f>$B6 * IFERROR(VLOOKUP("buildings|NOx|Asthma symptoms cough", US_national_yearly!$D:$AM, 16, FALSE) / VLOOKUP("buildings|NOx|Asthma symptoms cough", US_national_yearly!$D:$AM, 10, FALSE), 1)</f>
        <v>6.9332781187358182E-3</v>
      </c>
      <c r="I6" s="7">
        <f>$B6 * IFERROR(VLOOKUP("buildings|NOx|Asthma symptoms cough", US_national_yearly!$D:$AM, 17, FALSE) / VLOOKUP("buildings|NOx|Asthma symptoms cough", US_national_yearly!$D:$AM, 10, FALSE), 1)</f>
        <v>6.9576531218828279E-3</v>
      </c>
      <c r="J6" s="7">
        <f>$B6 * IFERROR(VLOOKUP("buildings|NOx|Asthma symptoms cough", US_national_yearly!$D:$AM, 18, FALSE) / VLOOKUP("buildings|NOx|Asthma symptoms cough", US_national_yearly!$D:$AM, 10, FALSE), 1)</f>
        <v>6.9820281250298384E-3</v>
      </c>
      <c r="K6" s="7">
        <f>$B6 * IFERROR(VLOOKUP("buildings|NOx|Asthma symptoms cough", US_national_yearly!$D:$AM, 19, FALSE) / VLOOKUP("buildings|NOx|Asthma symptoms cough", US_national_yearly!$D:$AM, 10, FALSE), 1)</f>
        <v>7.0064031281768472E-3</v>
      </c>
      <c r="L6" s="7">
        <f>$B6 * IFERROR(VLOOKUP("buildings|NOx|Asthma symptoms cough", US_national_yearly!$D:$AM, 20, FALSE) / VLOOKUP("buildings|NOx|Asthma symptoms cough", US_national_yearly!$D:$AM, 10, FALSE), 1)</f>
        <v>7.0307781313238577E-3</v>
      </c>
      <c r="M6" s="7">
        <f>$B6 * IFERROR(VLOOKUP("buildings|NOx|Asthma symptoms cough", US_national_yearly!$D:$AM, 21, FALSE) / VLOOKUP("buildings|NOx|Asthma symptoms cough", US_national_yearly!$D:$AM, 10, FALSE), 1)</f>
        <v>7.0551531344708665E-3</v>
      </c>
      <c r="N6" s="7">
        <f>$B6 * IFERROR(VLOOKUP("buildings|NOx|Asthma symptoms cough", US_national_yearly!$D:$AM, 22, FALSE) / VLOOKUP("buildings|NOx|Asthma symptoms cough", US_national_yearly!$D:$AM, 10, FALSE), 1)</f>
        <v>7.0833382506313653E-3</v>
      </c>
      <c r="O6" s="7">
        <f>$B6 * IFERROR(VLOOKUP("buildings|NOx|Asthma symptoms cough", US_national_yearly!$D:$AM, 23, FALSE) / VLOOKUP("buildings|NOx|Asthma symptoms cough", US_national_yearly!$D:$AM, 10, FALSE), 1)</f>
        <v>7.111523366791864E-3</v>
      </c>
      <c r="P6" s="7">
        <f>$B6 * IFERROR(VLOOKUP("buildings|NOx|Asthma symptoms cough", US_national_yearly!$D:$AM, 24, FALSE) / VLOOKUP("buildings|NOx|Asthma symptoms cough", US_national_yearly!$D:$AM, 10, FALSE), 1)</f>
        <v>7.1397084829523619E-3</v>
      </c>
      <c r="Q6" s="7">
        <f>$B6 * IFERROR(VLOOKUP("buildings|NOx|Asthma symptoms cough", US_national_yearly!$D:$AM, 25, FALSE) / VLOOKUP("buildings|NOx|Asthma symptoms cough", US_national_yearly!$D:$AM, 10, FALSE), 1)</f>
        <v>7.1678935991128616E-3</v>
      </c>
      <c r="R6" s="7">
        <f>$B6 * IFERROR(VLOOKUP("buildings|NOx|Asthma symptoms cough", US_national_yearly!$D:$AM, 26, FALSE) / VLOOKUP("buildings|NOx|Asthma symptoms cough", US_national_yearly!$D:$AM, 10, FALSE), 1)</f>
        <v>7.1960787152733595E-3</v>
      </c>
      <c r="S6" s="7">
        <f>$B6 * IFERROR(VLOOKUP("buildings|NOx|Asthma symptoms cough", US_national_yearly!$D:$AM, 27, FALSE) / VLOOKUP("buildings|NOx|Asthma symptoms cough", US_national_yearly!$D:$AM, 10, FALSE), 1)</f>
        <v>7.232889074298721E-3</v>
      </c>
      <c r="T6" s="7">
        <f>$B6 * IFERROR(VLOOKUP("buildings|NOx|Asthma symptoms cough", US_national_yearly!$D:$AM, 28, FALSE) / VLOOKUP("buildings|NOx|Asthma symptoms cough", US_national_yearly!$D:$AM, 10, FALSE), 1)</f>
        <v>7.2696994333240799E-3</v>
      </c>
      <c r="U6" s="7">
        <f>$B6 * IFERROR(VLOOKUP("buildings|NOx|Asthma symptoms cough", US_national_yearly!$D:$AM, 29, FALSE) / VLOOKUP("buildings|NOx|Asthma symptoms cough", US_national_yearly!$D:$AM, 10, FALSE), 1)</f>
        <v>7.3065097923494396E-3</v>
      </c>
      <c r="V6" s="7">
        <f>$B6 * IFERROR(VLOOKUP("buildings|NOx|Asthma symptoms cough", US_national_yearly!$D:$AM, 30, FALSE) / VLOOKUP("buildings|NOx|Asthma symptoms cough", US_national_yearly!$D:$AM, 10, FALSE), 1)</f>
        <v>7.343320151374802E-3</v>
      </c>
      <c r="W6" s="7">
        <f>$B6 * IFERROR(VLOOKUP("buildings|NOx|Asthma symptoms cough", US_national_yearly!$D:$AM, 31, FALSE) / VLOOKUP("buildings|NOx|Asthma symptoms cough", US_national_yearly!$D:$AM, 10, FALSE), 1)</f>
        <v>7.3801305104001617E-3</v>
      </c>
      <c r="X6" s="7">
        <f>$B6 * IFERROR(VLOOKUP("buildings|NOx|Asthma symptoms cough", US_national_yearly!$D:$AM, 32, FALSE) / VLOOKUP("buildings|NOx|Asthma symptoms cough", US_national_yearly!$D:$AM, 10, FALSE), 1)</f>
        <v>7.4143323991381948E-3</v>
      </c>
      <c r="Y6" s="7">
        <f>$B6 * IFERROR(VLOOKUP("buildings|NOx|Asthma symptoms cough", US_national_yearly!$D:$AM, 33, FALSE) / VLOOKUP("buildings|NOx|Asthma symptoms cough", US_national_yearly!$D:$AM, 10, FALSE), 1)</f>
        <v>7.4485342878762295E-3</v>
      </c>
      <c r="Z6" s="7">
        <f>$B6 * IFERROR(VLOOKUP("buildings|NOx|Asthma symptoms cough", US_national_yearly!$D:$AM, 34, FALSE) / VLOOKUP("buildings|NOx|Asthma symptoms cough", US_national_yearly!$D:$AM, 10, FALSE), 1)</f>
        <v>7.4827361766142634E-3</v>
      </c>
      <c r="AA6" s="7">
        <f>$B6 * IFERROR(VLOOKUP("buildings|NOx|Asthma symptoms cough", US_national_yearly!$D:$AM, 35, FALSE) / VLOOKUP("buildings|NOx|Asthma symptoms cough", US_national_yearly!$D:$AM, 10, FALSE), 1)</f>
        <v>7.5169380653522981E-3</v>
      </c>
      <c r="AB6" s="7">
        <f>$B6 * IFERROR(VLOOKUP("buildings|NOx|Asthma symptoms cough", US_national_yearly!$D:$AM, 36, FALSE) / VLOOKUP("buildings|NOx|Asthma symptoms cough", US_national_yearly!$D:$AM, 10, FALSE), 1)</f>
        <v>7.5511399540903329E-3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8.6721769277269978E-3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8.7908580308886739E-3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8.9095391340503483E-3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9.0282202372120243E-3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9.1469013403736987E-3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9.2417497800330733E-3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9.336598219692448E-3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9.3694224629998248E-3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9.402246706307198E-3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9.4350709496145765E-3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9.4678951929219532E-3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9.5007194362293299E-3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9.5386745129190185E-3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9.576629589608707E-3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9.6145846662983956E-3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9.6525397429880842E-3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9.6904948196777727E-3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9.7400649544578822E-3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9.7896350892379917E-3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9.8392052240181029E-3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9.8887753587982106E-3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9.93834549357832E-3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9.9844029697429733E-3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1.0030460445907625E-2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1.0076517922072278E-2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1.0122575398236928E-2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1.0168632874401581E-2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1.3249837966839153E-2</v>
      </c>
      <c r="C8" s="7">
        <f>$B8 * IFERROR(VLOOKUP("buildings|NOx|Asthma symptoms wheeze", US_national_yearly!$D:$AM, 11, FALSE) / VLOOKUP("buildings|NOx|Asthma symptoms wheeze", US_national_yearly!$D:$AM, 10, FALSE), 1)</f>
        <v>1.343116560849786E-2</v>
      </c>
      <c r="D8" s="7">
        <f>$B8 * IFERROR(VLOOKUP("buildings|NOx|Asthma symptoms wheeze", US_national_yearly!$D:$AM, 12, FALSE) / VLOOKUP("buildings|NOx|Asthma symptoms wheeze", US_national_yearly!$D:$AM, 10, FALSE), 1)</f>
        <v>1.3612493250156569E-2</v>
      </c>
      <c r="E8" s="7">
        <f>$B8 * IFERROR(VLOOKUP("buildings|NOx|Asthma symptoms wheeze", US_national_yearly!$D:$AM, 13, FALSE) / VLOOKUP("buildings|NOx|Asthma symptoms wheeze", US_national_yearly!$D:$AM, 10, FALSE), 1)</f>
        <v>1.3793820891815273E-2</v>
      </c>
      <c r="F8" s="7">
        <f>$B8 * IFERROR(VLOOKUP("buildings|NOx|Asthma symptoms wheeze", US_national_yearly!$D:$AM, 14, FALSE) / VLOOKUP("buildings|NOx|Asthma symptoms wheeze", US_national_yearly!$D:$AM, 10, FALSE), 1)</f>
        <v>1.3975148533473983E-2</v>
      </c>
      <c r="G8" s="7">
        <f>$B8 * IFERROR(VLOOKUP("buildings|NOx|Asthma symptoms wheeze", US_national_yearly!$D:$AM, 15, FALSE) / VLOOKUP("buildings|NOx|Asthma symptoms wheeze", US_national_yearly!$D:$AM, 10, FALSE), 1)</f>
        <v>1.4120063296265774E-2</v>
      </c>
      <c r="H8" s="7">
        <f>$B8 * IFERROR(VLOOKUP("buildings|NOx|Asthma symptoms wheeze", US_national_yearly!$D:$AM, 16, FALSE) / VLOOKUP("buildings|NOx|Asthma symptoms wheeze", US_national_yearly!$D:$AM, 10, FALSE), 1)</f>
        <v>1.4264978059057564E-2</v>
      </c>
      <c r="I8" s="7">
        <f>$B8 * IFERROR(VLOOKUP("buildings|NOx|Asthma symptoms wheeze", US_national_yearly!$D:$AM, 17, FALSE) / VLOOKUP("buildings|NOx|Asthma symptoms wheeze", US_national_yearly!$D:$AM, 10, FALSE), 1)</f>
        <v>1.431512877843082E-2</v>
      </c>
      <c r="J8" s="7">
        <f>$B8 * IFERROR(VLOOKUP("buildings|NOx|Asthma symptoms wheeze", US_national_yearly!$D:$AM, 18, FALSE) / VLOOKUP("buildings|NOx|Asthma symptoms wheeze", US_national_yearly!$D:$AM, 10, FALSE), 1)</f>
        <v>1.4365279497804076E-2</v>
      </c>
      <c r="K8" s="7">
        <f>$B8 * IFERROR(VLOOKUP("buildings|NOx|Asthma symptoms wheeze", US_national_yearly!$D:$AM, 19, FALSE) / VLOOKUP("buildings|NOx|Asthma symptoms wheeze", US_national_yearly!$D:$AM, 10, FALSE), 1)</f>
        <v>1.441543021717733E-2</v>
      </c>
      <c r="L8" s="7">
        <f>$B8 * IFERROR(VLOOKUP("buildings|NOx|Asthma symptoms wheeze", US_national_yearly!$D:$AM, 20, FALSE) / VLOOKUP("buildings|NOx|Asthma symptoms wheeze", US_national_yearly!$D:$AM, 10, FALSE), 1)</f>
        <v>1.4465580936550584E-2</v>
      </c>
      <c r="M8" s="7">
        <f>$B8 * IFERROR(VLOOKUP("buildings|NOx|Asthma symptoms wheeze", US_national_yearly!$D:$AM, 21, FALSE) / VLOOKUP("buildings|NOx|Asthma symptoms wheeze", US_national_yearly!$D:$AM, 10, FALSE), 1)</f>
        <v>1.4515731655923842E-2</v>
      </c>
      <c r="N8" s="7">
        <f>$B8 * IFERROR(VLOOKUP("buildings|NOx|Asthma symptoms wheeze", US_national_yearly!$D:$AM, 22, FALSE) / VLOOKUP("buildings|NOx|Asthma symptoms wheeze", US_national_yearly!$D:$AM, 10, FALSE), 1)</f>
        <v>1.4573721550021288E-2</v>
      </c>
      <c r="O8" s="7">
        <f>$B8 * IFERROR(VLOOKUP("buildings|NOx|Asthma symptoms wheeze", US_national_yearly!$D:$AM, 23, FALSE) / VLOOKUP("buildings|NOx|Asthma symptoms wheeze", US_national_yearly!$D:$AM, 10, FALSE), 1)</f>
        <v>1.463171144411874E-2</v>
      </c>
      <c r="P8" s="7">
        <f>$B8 * IFERROR(VLOOKUP("buildings|NOx|Asthma symptoms wheeze", US_national_yearly!$D:$AM, 24, FALSE) / VLOOKUP("buildings|NOx|Asthma symptoms wheeze", US_national_yearly!$D:$AM, 10, FALSE), 1)</f>
        <v>1.4689701338216189E-2</v>
      </c>
      <c r="Q8" s="7">
        <f>$B8 * IFERROR(VLOOKUP("buildings|NOx|Asthma symptoms wheeze", US_national_yearly!$D:$AM, 25, FALSE) / VLOOKUP("buildings|NOx|Asthma symptoms wheeze", US_national_yearly!$D:$AM, 10, FALSE), 1)</f>
        <v>1.4747691232313639E-2</v>
      </c>
      <c r="R8" s="7">
        <f>$B8 * IFERROR(VLOOKUP("buildings|NOx|Asthma symptoms wheeze", US_national_yearly!$D:$AM, 26, FALSE) / VLOOKUP("buildings|NOx|Asthma symptoms wheeze", US_national_yearly!$D:$AM, 10, FALSE), 1)</f>
        <v>1.4805681126411088E-2</v>
      </c>
      <c r="S8" s="7">
        <f>$B8 * IFERROR(VLOOKUP("buildings|NOx|Asthma symptoms wheeze", US_national_yearly!$D:$AM, 27, FALSE) / VLOOKUP("buildings|NOx|Asthma symptoms wheeze", US_national_yearly!$D:$AM, 10, FALSE), 1)</f>
        <v>1.4881417157084804E-2</v>
      </c>
      <c r="T8" s="7">
        <f>$B8 * IFERROR(VLOOKUP("buildings|NOx|Asthma symptoms wheeze", US_national_yearly!$D:$AM, 28, FALSE) / VLOOKUP("buildings|NOx|Asthma symptoms wheeze", US_national_yearly!$D:$AM, 10, FALSE), 1)</f>
        <v>1.4957153187758521E-2</v>
      </c>
      <c r="U8" s="7">
        <f>$B8 * IFERROR(VLOOKUP("buildings|NOx|Asthma symptoms wheeze", US_national_yearly!$D:$AM, 29, FALSE) / VLOOKUP("buildings|NOx|Asthma symptoms wheeze", US_national_yearly!$D:$AM, 10, FALSE), 1)</f>
        <v>1.5032889218432237E-2</v>
      </c>
      <c r="V8" s="7">
        <f>$B8 * IFERROR(VLOOKUP("buildings|NOx|Asthma symptoms wheeze", US_national_yearly!$D:$AM, 30, FALSE) / VLOOKUP("buildings|NOx|Asthma symptoms wheeze", US_national_yearly!$D:$AM, 10, FALSE), 1)</f>
        <v>1.5108625249105953E-2</v>
      </c>
      <c r="W8" s="7">
        <f>$B8 * IFERROR(VLOOKUP("buildings|NOx|Asthma symptoms wheeze", US_national_yearly!$D:$AM, 31, FALSE) / VLOOKUP("buildings|NOx|Asthma symptoms wheeze", US_national_yearly!$D:$AM, 10, FALSE), 1)</f>
        <v>1.518436127977967E-2</v>
      </c>
      <c r="X8" s="7">
        <f>$B8 * IFERROR(VLOOKUP("buildings|NOx|Asthma symptoms wheeze", US_national_yearly!$D:$AM, 32, FALSE) / VLOOKUP("buildings|NOx|Asthma symptoms wheeze", US_national_yearly!$D:$AM, 10, FALSE), 1)</f>
        <v>1.5254730473758771E-2</v>
      </c>
      <c r="Y8" s="7">
        <f>$B8 * IFERROR(VLOOKUP("buildings|NOx|Asthma symptoms wheeze", US_national_yearly!$D:$AM, 33, FALSE) / VLOOKUP("buildings|NOx|Asthma symptoms wheeze", US_national_yearly!$D:$AM, 10, FALSE), 1)</f>
        <v>1.5325099667737874E-2</v>
      </c>
      <c r="Z8" s="7">
        <f>$B8 * IFERROR(VLOOKUP("buildings|NOx|Asthma symptoms wheeze", US_national_yearly!$D:$AM, 34, FALSE) / VLOOKUP("buildings|NOx|Asthma symptoms wheeze", US_national_yearly!$D:$AM, 10, FALSE), 1)</f>
        <v>1.539546886171698E-2</v>
      </c>
      <c r="AA8" s="7">
        <f>$B8 * IFERROR(VLOOKUP("buildings|NOx|Asthma symptoms wheeze", US_national_yearly!$D:$AM, 35, FALSE) / VLOOKUP("buildings|NOx|Asthma symptoms wheeze", US_national_yearly!$D:$AM, 10, FALSE), 1)</f>
        <v>1.5465838055696082E-2</v>
      </c>
      <c r="AB8" s="7">
        <f>$B8 * IFERROR(VLOOKUP("buildings|NOx|Asthma symptoms wheeze", US_national_yearly!$D:$AM, 36, FALSE) / VLOOKUP("buildings|NOx|Asthma symptoms wheeze", US_national_yearly!$D:$AM, 10, FALSE), 1)</f>
        <v>1.5536207249675187E-2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7.0402322272235693E-5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7.216127856716516E-5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7.392023486209464E-5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7.5679191157024107E-5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7.7438147451953587E-5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7.9119763194564403E-5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8.0801378937175191E-5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8.2229871891209813E-5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8.365836484524442E-5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8.5086857799279042E-5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8.6515350753313663E-5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8.794384370734827E-5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8.8898783387256189E-5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8.9853723067164095E-5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9.0808662747072E-5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9.1763602426979933E-5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9.2718542106887824E-5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9.3230551844183428E-5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9.3742561581479031E-5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9.4254571318774647E-5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9.476658105607025E-5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9.527859079336584E-5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9.5629085617508555E-5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9.5979580441651256E-5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9.6330075265793985E-5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9.6680570089936673E-5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9.7031064914079388E-5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4.8525067589869075E-4</v>
      </c>
      <c r="C13" s="7">
        <f>$B13 * IFERROR(VLOOKUP("buildings|NOx|Non-fatal heart attacks", US_national_yearly!$D:$AM, 11, FALSE) / VLOOKUP("buildings|NOx|Non-fatal heart attacks", US_national_yearly!$D:$AM, 10, FALSE), 1)</f>
        <v>4.991327083764866E-4</v>
      </c>
      <c r="D13" s="7">
        <f>$B13 * IFERROR(VLOOKUP("buildings|NOx|Non-fatal heart attacks", US_national_yearly!$D:$AM, 12, FALSE) / VLOOKUP("buildings|NOx|Non-fatal heart attacks", US_national_yearly!$D:$AM, 10, FALSE), 1)</f>
        <v>5.1301474085428266E-4</v>
      </c>
      <c r="E13" s="7">
        <f>$B13 * IFERROR(VLOOKUP("buildings|NOx|Non-fatal heart attacks", US_national_yearly!$D:$AM, 13, FALSE) / VLOOKUP("buildings|NOx|Non-fatal heart attacks", US_national_yearly!$D:$AM, 10, FALSE), 1)</f>
        <v>5.268967733320785E-4</v>
      </c>
      <c r="F13" s="7">
        <f>$B13 * IFERROR(VLOOKUP("buildings|NOx|Non-fatal heart attacks", US_national_yearly!$D:$AM, 14, FALSE) / VLOOKUP("buildings|NOx|Non-fatal heart attacks", US_national_yearly!$D:$AM, 10, FALSE), 1)</f>
        <v>5.4077880580987424E-4</v>
      </c>
      <c r="G13" s="7">
        <f>$B13 * IFERROR(VLOOKUP("buildings|NOx|Non-fatal heart attacks", US_national_yearly!$D:$AM, 15, FALSE) / VLOOKUP("buildings|NOx|Non-fatal heart attacks", US_national_yearly!$D:$AM, 10, FALSE), 1)</f>
        <v>5.5375429487549376E-4</v>
      </c>
      <c r="H13" s="7">
        <f>$B13 * IFERROR(VLOOKUP("buildings|NOx|Non-fatal heart attacks", US_national_yearly!$D:$AM, 16, FALSE) / VLOOKUP("buildings|NOx|Non-fatal heart attacks", US_national_yearly!$D:$AM, 10, FALSE), 1)</f>
        <v>5.6672978394111328E-4</v>
      </c>
      <c r="I13" s="7">
        <f>$B13 * IFERROR(VLOOKUP("buildings|NOx|Non-fatal heart attacks", US_national_yearly!$D:$AM, 17, FALSE) / VLOOKUP("buildings|NOx|Non-fatal heart attacks", US_national_yearly!$D:$AM, 10, FALSE), 1)</f>
        <v>5.7696651207670194E-4</v>
      </c>
      <c r="J13" s="7">
        <f>$B13 * IFERROR(VLOOKUP("buildings|NOx|Non-fatal heart attacks", US_national_yearly!$D:$AM, 18, FALSE) / VLOOKUP("buildings|NOx|Non-fatal heart attacks", US_national_yearly!$D:$AM, 10, FALSE), 1)</f>
        <v>5.8720324021229071E-4</v>
      </c>
      <c r="K13" s="7">
        <f>$B13 * IFERROR(VLOOKUP("buildings|NOx|Non-fatal heart attacks", US_national_yearly!$D:$AM, 19, FALSE) / VLOOKUP("buildings|NOx|Non-fatal heart attacks", US_national_yearly!$D:$AM, 10, FALSE), 1)</f>
        <v>5.9743996834787959E-4</v>
      </c>
      <c r="L13" s="7">
        <f>$B13 * IFERROR(VLOOKUP("buildings|NOx|Non-fatal heart attacks", US_national_yearly!$D:$AM, 20, FALSE) / VLOOKUP("buildings|NOx|Non-fatal heart attacks", US_national_yearly!$D:$AM, 10, FALSE), 1)</f>
        <v>6.0767669648346793E-4</v>
      </c>
      <c r="M13" s="7">
        <f>$B13 * IFERROR(VLOOKUP("buildings|NOx|Non-fatal heart attacks", US_national_yearly!$D:$AM, 21, FALSE) / VLOOKUP("buildings|NOx|Non-fatal heart attacks", US_national_yearly!$D:$AM, 10, FALSE), 1)</f>
        <v>6.1791342461905681E-4</v>
      </c>
      <c r="N13" s="7">
        <f>$B13 * IFERROR(VLOOKUP("buildings|NOx|Non-fatal heart attacks", US_national_yearly!$D:$AM, 22, FALSE) / VLOOKUP("buildings|NOx|Non-fatal heart attacks", US_national_yearly!$D:$AM, 10, FALSE), 1)</f>
        <v>6.2407419792752947E-4</v>
      </c>
      <c r="O13" s="7">
        <f>$B13 * IFERROR(VLOOKUP("buildings|NOx|Non-fatal heart attacks", US_national_yearly!$D:$AM, 23, FALSE) / VLOOKUP("buildings|NOx|Non-fatal heart attacks", US_national_yearly!$D:$AM, 10, FALSE), 1)</f>
        <v>6.3023497123600191E-4</v>
      </c>
      <c r="P13" s="7">
        <f>$B13 * IFERROR(VLOOKUP("buildings|NOx|Non-fatal heart attacks", US_national_yearly!$D:$AM, 24, FALSE) / VLOOKUP("buildings|NOx|Non-fatal heart attacks", US_national_yearly!$D:$AM, 10, FALSE), 1)</f>
        <v>6.3639574454447457E-4</v>
      </c>
      <c r="Q13" s="7">
        <f>$B13 * IFERROR(VLOOKUP("buildings|NOx|Non-fatal heart attacks", US_national_yearly!$D:$AM, 25, FALSE) / VLOOKUP("buildings|NOx|Non-fatal heart attacks", US_national_yearly!$D:$AM, 10, FALSE), 1)</f>
        <v>6.4255651785294723E-4</v>
      </c>
      <c r="R13" s="7">
        <f>$B13 * IFERROR(VLOOKUP("buildings|NOx|Non-fatal heart attacks", US_national_yearly!$D:$AM, 26, FALSE) / VLOOKUP("buildings|NOx|Non-fatal heart attacks", US_national_yearly!$D:$AM, 10, FALSE), 1)</f>
        <v>6.4871729116141967E-4</v>
      </c>
      <c r="S13" s="7">
        <f>$B13 * IFERROR(VLOOKUP("buildings|NOx|Non-fatal heart attacks", US_national_yearly!$D:$AM, 27, FALSE) / VLOOKUP("buildings|NOx|Non-fatal heart attacks", US_national_yearly!$D:$AM, 10, FALSE), 1)</f>
        <v>6.5151698824087736E-4</v>
      </c>
      <c r="T13" s="7">
        <f>$B13 * IFERROR(VLOOKUP("buildings|NOx|Non-fatal heart attacks", US_national_yearly!$D:$AM, 28, FALSE) / VLOOKUP("buildings|NOx|Non-fatal heart attacks", US_national_yearly!$D:$AM, 10, FALSE), 1)</f>
        <v>6.5431668532033526E-4</v>
      </c>
      <c r="U13" s="7">
        <f>$B13 * IFERROR(VLOOKUP("buildings|NOx|Non-fatal heart attacks", US_national_yearly!$D:$AM, 29, FALSE) / VLOOKUP("buildings|NOx|Non-fatal heart attacks", US_national_yearly!$D:$AM, 10, FALSE), 1)</f>
        <v>6.5711638239979294E-4</v>
      </c>
      <c r="V13" s="7">
        <f>$B13 * IFERROR(VLOOKUP("buildings|NOx|Non-fatal heart attacks", US_national_yearly!$D:$AM, 30, FALSE) / VLOOKUP("buildings|NOx|Non-fatal heart attacks", US_national_yearly!$D:$AM, 10, FALSE), 1)</f>
        <v>6.5991607947925074E-4</v>
      </c>
      <c r="W13" s="7">
        <f>$B13 * IFERROR(VLOOKUP("buildings|NOx|Non-fatal heart attacks", US_national_yearly!$D:$AM, 31, FALSE) / VLOOKUP("buildings|NOx|Non-fatal heart attacks", US_national_yearly!$D:$AM, 10, FALSE), 1)</f>
        <v>6.6271577655870853E-4</v>
      </c>
      <c r="X13" s="7">
        <f>$B13 * IFERROR(VLOOKUP("buildings|NOx|Non-fatal heart attacks", US_national_yearly!$D:$AM, 32, FALSE) / VLOOKUP("buildings|NOx|Non-fatal heart attacks", US_national_yearly!$D:$AM, 10, FALSE), 1)</f>
        <v>6.6458854592133659E-4</v>
      </c>
      <c r="Y13" s="7">
        <f>$B13 * IFERROR(VLOOKUP("buildings|NOx|Non-fatal heart attacks", US_national_yearly!$D:$AM, 33, FALSE) / VLOOKUP("buildings|NOx|Non-fatal heart attacks", US_national_yearly!$D:$AM, 10, FALSE), 1)</f>
        <v>6.6646131528396465E-4</v>
      </c>
      <c r="Z13" s="7">
        <f>$B13 * IFERROR(VLOOKUP("buildings|NOx|Non-fatal heart attacks", US_national_yearly!$D:$AM, 34, FALSE) / VLOOKUP("buildings|NOx|Non-fatal heart attacks", US_national_yearly!$D:$AM, 10, FALSE), 1)</f>
        <v>6.6833408464659293E-4</v>
      </c>
      <c r="AA13" s="7">
        <f>$B13 * IFERROR(VLOOKUP("buildings|NOx|Non-fatal heart attacks", US_national_yearly!$D:$AM, 35, FALSE) / VLOOKUP("buildings|NOx|Non-fatal heart attacks", US_national_yearly!$D:$AM, 10, FALSE), 1)</f>
        <v>6.7020685400922099E-4</v>
      </c>
      <c r="AB13" s="7">
        <f>$B13 * IFERROR(VLOOKUP("buildings|NOx|Non-fatal heart attacks", US_national_yearly!$D:$AM, 36, FALSE) / VLOOKUP("buildings|NOx|Non-fatal heart attacks", US_national_yearly!$D:$AM, 10, FALSE), 1)</f>
        <v>6.7207962337184905E-4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0.61677461880834039</v>
      </c>
      <c r="C14" s="7">
        <f>$B14 * IFERROR(VLOOKUP("buildings|NOx|Minor restricted activity days", US_national_yearly!$D:$AM, 11, FALSE) / VLOOKUP("buildings|NOx|Minor restricted activity days", US_national_yearly!$D:$AM, 10, FALSE), 1)</f>
        <v>0.61773170715390768</v>
      </c>
      <c r="D14" s="7">
        <f>$B14 * IFERROR(VLOOKUP("buildings|NOx|Minor restricted activity days", US_national_yearly!$D:$AM, 12, FALSE) / VLOOKUP("buildings|NOx|Minor restricted activity days", US_national_yearly!$D:$AM, 10, FALSE), 1)</f>
        <v>0.61868879549947497</v>
      </c>
      <c r="E14" s="7">
        <f>$B14 * IFERROR(VLOOKUP("buildings|NOx|Minor restricted activity days", US_national_yearly!$D:$AM, 13, FALSE) / VLOOKUP("buildings|NOx|Minor restricted activity days", US_national_yearly!$D:$AM, 10, FALSE), 1)</f>
        <v>0.61964588384504216</v>
      </c>
      <c r="F14" s="7">
        <f>$B14 * IFERROR(VLOOKUP("buildings|NOx|Minor restricted activity days", US_national_yearly!$D:$AM, 14, FALSE) / VLOOKUP("buildings|NOx|Minor restricted activity days", US_national_yearly!$D:$AM, 10, FALSE), 1)</f>
        <v>0.62060297219060945</v>
      </c>
      <c r="G14" s="7">
        <f>$B14 * IFERROR(VLOOKUP("buildings|NOx|Minor restricted activity days", US_national_yearly!$D:$AM, 15, FALSE) / VLOOKUP("buildings|NOx|Minor restricted activity days", US_national_yearly!$D:$AM, 10, FALSE), 1)</f>
        <v>0.62232238306427345</v>
      </c>
      <c r="H14" s="7">
        <f>$B14 * IFERROR(VLOOKUP("buildings|NOx|Minor restricted activity days", US_national_yearly!$D:$AM, 16, FALSE) / VLOOKUP("buildings|NOx|Minor restricted activity days", US_national_yearly!$D:$AM, 10, FALSE), 1)</f>
        <v>0.62404179393793735</v>
      </c>
      <c r="I14" s="7">
        <f>$B14 * IFERROR(VLOOKUP("buildings|NOx|Minor restricted activity days", US_national_yearly!$D:$AM, 17, FALSE) / VLOOKUP("buildings|NOx|Minor restricted activity days", US_national_yearly!$D:$AM, 10, FALSE), 1)</f>
        <v>0.62739415459118364</v>
      </c>
      <c r="J14" s="7">
        <f>$B14 * IFERROR(VLOOKUP("buildings|NOx|Minor restricted activity days", US_national_yearly!$D:$AM, 18, FALSE) / VLOOKUP("buildings|NOx|Minor restricted activity days", US_national_yearly!$D:$AM, 10, FALSE), 1)</f>
        <v>0.63074651524442993</v>
      </c>
      <c r="K14" s="7">
        <f>$B14 * IFERROR(VLOOKUP("buildings|NOx|Minor restricted activity days", US_national_yearly!$D:$AM, 19, FALSE) / VLOOKUP("buildings|NOx|Minor restricted activity days", US_national_yearly!$D:$AM, 10, FALSE), 1)</f>
        <v>0.63409887589767611</v>
      </c>
      <c r="L14" s="7">
        <f>$B14 * IFERROR(VLOOKUP("buildings|NOx|Minor restricted activity days", US_national_yearly!$D:$AM, 20, FALSE) / VLOOKUP("buildings|NOx|Minor restricted activity days", US_national_yearly!$D:$AM, 10, FALSE), 1)</f>
        <v>0.6374512365509224</v>
      </c>
      <c r="M14" s="7">
        <f>$B14 * IFERROR(VLOOKUP("buildings|NOx|Minor restricted activity days", US_national_yearly!$D:$AM, 21, FALSE) / VLOOKUP("buildings|NOx|Minor restricted activity days", US_national_yearly!$D:$AM, 10, FALSE), 1)</f>
        <v>0.64080359720416857</v>
      </c>
      <c r="N14" s="7">
        <f>$B14 * IFERROR(VLOOKUP("buildings|NOx|Minor restricted activity days", US_national_yearly!$D:$AM, 22, FALSE) / VLOOKUP("buildings|NOx|Minor restricted activity days", US_national_yearly!$D:$AM, 10, FALSE), 1)</f>
        <v>0.64559951212919198</v>
      </c>
      <c r="O14" s="7">
        <f>$B14 * IFERROR(VLOOKUP("buildings|NOx|Minor restricted activity days", US_national_yearly!$D:$AM, 23, FALSE) / VLOOKUP("buildings|NOx|Minor restricted activity days", US_national_yearly!$D:$AM, 10, FALSE), 1)</f>
        <v>0.65039542705421516</v>
      </c>
      <c r="P14" s="7">
        <f>$B14 * IFERROR(VLOOKUP("buildings|NOx|Minor restricted activity days", US_national_yearly!$D:$AM, 24, FALSE) / VLOOKUP("buildings|NOx|Minor restricted activity days", US_national_yearly!$D:$AM, 10, FALSE), 1)</f>
        <v>0.65519134197923845</v>
      </c>
      <c r="Q14" s="7">
        <f>$B14 * IFERROR(VLOOKUP("buildings|NOx|Minor restricted activity days", US_national_yearly!$D:$AM, 25, FALSE) / VLOOKUP("buildings|NOx|Minor restricted activity days", US_national_yearly!$D:$AM, 10, FALSE), 1)</f>
        <v>0.65998725690426163</v>
      </c>
      <c r="R14" s="7">
        <f>$B14 * IFERROR(VLOOKUP("buildings|NOx|Minor restricted activity days", US_national_yearly!$D:$AM, 26, FALSE) / VLOOKUP("buildings|NOx|Minor restricted activity days", US_national_yearly!$D:$AM, 10, FALSE), 1)</f>
        <v>0.66478317182928492</v>
      </c>
      <c r="S14" s="7">
        <f>$B14 * IFERROR(VLOOKUP("buildings|NOx|Minor restricted activity days", US_national_yearly!$D:$AM, 27, FALSE) / VLOOKUP("buildings|NOx|Minor restricted activity days", US_national_yearly!$D:$AM, 10, FALSE), 1)</f>
        <v>0.66957770614061674</v>
      </c>
      <c r="T14" s="7">
        <f>$B14 * IFERROR(VLOOKUP("buildings|NOx|Minor restricted activity days", US_national_yearly!$D:$AM, 28, FALSE) / VLOOKUP("buildings|NOx|Minor restricted activity days", US_national_yearly!$D:$AM, 10, FALSE), 1)</f>
        <v>0.67437224045194855</v>
      </c>
      <c r="U14" s="7">
        <f>$B14 * IFERROR(VLOOKUP("buildings|NOx|Minor restricted activity days", US_national_yearly!$D:$AM, 29, FALSE) / VLOOKUP("buildings|NOx|Minor restricted activity days", US_national_yearly!$D:$AM, 10, FALSE), 1)</f>
        <v>0.67916677476328047</v>
      </c>
      <c r="V14" s="7">
        <f>$B14 * IFERROR(VLOOKUP("buildings|NOx|Minor restricted activity days", US_national_yearly!$D:$AM, 30, FALSE) / VLOOKUP("buildings|NOx|Minor restricted activity days", US_national_yearly!$D:$AM, 10, FALSE), 1)</f>
        <v>0.68396130907461228</v>
      </c>
      <c r="W14" s="7">
        <f>$B14 * IFERROR(VLOOKUP("buildings|NOx|Minor restricted activity days", US_national_yearly!$D:$AM, 31, FALSE) / VLOOKUP("buildings|NOx|Minor restricted activity days", US_national_yearly!$D:$AM, 10, FALSE), 1)</f>
        <v>0.68875584338594409</v>
      </c>
      <c r="X14" s="7">
        <f>$B14 * IFERROR(VLOOKUP("buildings|NOx|Minor restricted activity days", US_national_yearly!$D:$AM, 32, FALSE) / VLOOKUP("buildings|NOx|Minor restricted activity days", US_national_yearly!$D:$AM, 10, FALSE), 1)</f>
        <v>0.69281077799756874</v>
      </c>
      <c r="Y14" s="7">
        <f>$B14 * IFERROR(VLOOKUP("buildings|NOx|Minor restricted activity days", US_national_yearly!$D:$AM, 33, FALSE) / VLOOKUP("buildings|NOx|Minor restricted activity days", US_national_yearly!$D:$AM, 10, FALSE), 1)</f>
        <v>0.6968657126091935</v>
      </c>
      <c r="Z14" s="7">
        <f>$B14 * IFERROR(VLOOKUP("buildings|NOx|Minor restricted activity days", US_national_yearly!$D:$AM, 34, FALSE) / VLOOKUP("buildings|NOx|Minor restricted activity days", US_national_yearly!$D:$AM, 10, FALSE), 1)</f>
        <v>0.70092064722081804</v>
      </c>
      <c r="AA14" s="7">
        <f>$B14 * IFERROR(VLOOKUP("buildings|NOx|Minor restricted activity days", US_national_yearly!$D:$AM, 35, FALSE) / VLOOKUP("buildings|NOx|Minor restricted activity days", US_national_yearly!$D:$AM, 10, FALSE), 1)</f>
        <v>0.7049755818324428</v>
      </c>
      <c r="AB14" s="7">
        <f>$B14 * IFERROR(VLOOKUP("buildings|NOx|Minor restricted activity days", US_national_yearly!$D:$AM, 36, FALSE) / VLOOKUP("buildings|NOx|Minor restricted activity days", US_national_yearly!$D:$AM, 10, FALSE), 1)</f>
        <v>0.70903051644406745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0.10570597786673912</v>
      </c>
      <c r="C15" s="7">
        <f>$B15 * IFERROR(VLOOKUP("buildings|NOx|Work loss days", US_national_yearly!$D:$AM, 11, FALSE) / VLOOKUP("buildings|NOx|Work loss days", US_national_yearly!$D:$AM, 10, FALSE), 1)</f>
        <v>0.10594294266352572</v>
      </c>
      <c r="D15" s="7">
        <f>$B15 * IFERROR(VLOOKUP("buildings|NOx|Work loss days", US_national_yearly!$D:$AM, 12, FALSE) / VLOOKUP("buildings|NOx|Work loss days", US_national_yearly!$D:$AM, 10, FALSE), 1)</f>
        <v>0.10617990746031229</v>
      </c>
      <c r="E15" s="7">
        <f>$B15 * IFERROR(VLOOKUP("buildings|NOx|Work loss days", US_national_yearly!$D:$AM, 13, FALSE) / VLOOKUP("buildings|NOx|Work loss days", US_national_yearly!$D:$AM, 10, FALSE), 1)</f>
        <v>0.10641687225709887</v>
      </c>
      <c r="F15" s="7">
        <f>$B15 * IFERROR(VLOOKUP("buildings|NOx|Work loss days", US_national_yearly!$D:$AM, 14, FALSE) / VLOOKUP("buildings|NOx|Work loss days", US_national_yearly!$D:$AM, 10, FALSE), 1)</f>
        <v>0.10665383705388547</v>
      </c>
      <c r="G15" s="7">
        <f>$B15 * IFERROR(VLOOKUP("buildings|NOx|Work loss days", US_national_yearly!$D:$AM, 15, FALSE) / VLOOKUP("buildings|NOx|Work loss days", US_national_yearly!$D:$AM, 10, FALSE), 1)</f>
        <v>0.10699900284773417</v>
      </c>
      <c r="H15" s="7">
        <f>$B15 * IFERROR(VLOOKUP("buildings|NOx|Work loss days", US_national_yearly!$D:$AM, 16, FALSE) / VLOOKUP("buildings|NOx|Work loss days", US_national_yearly!$D:$AM, 10, FALSE), 1)</f>
        <v>0.10734416864158286</v>
      </c>
      <c r="I15" s="7">
        <f>$B15 * IFERROR(VLOOKUP("buildings|NOx|Work loss days", US_national_yearly!$D:$AM, 17, FALSE) / VLOOKUP("buildings|NOx|Work loss days", US_national_yearly!$D:$AM, 10, FALSE), 1)</f>
        <v>0.10790240576941694</v>
      </c>
      <c r="J15" s="7">
        <f>$B15 * IFERROR(VLOOKUP("buildings|NOx|Work loss days", US_national_yearly!$D:$AM, 18, FALSE) / VLOOKUP("buildings|NOx|Work loss days", US_national_yearly!$D:$AM, 10, FALSE), 1)</f>
        <v>0.10846064289725099</v>
      </c>
      <c r="K15" s="7">
        <f>$B15 * IFERROR(VLOOKUP("buildings|NOx|Work loss days", US_national_yearly!$D:$AM, 19, FALSE) / VLOOKUP("buildings|NOx|Work loss days", US_national_yearly!$D:$AM, 10, FALSE), 1)</f>
        <v>0.10901888002508507</v>
      </c>
      <c r="L15" s="7">
        <f>$B15 * IFERROR(VLOOKUP("buildings|NOx|Work loss days", US_national_yearly!$D:$AM, 20, FALSE) / VLOOKUP("buildings|NOx|Work loss days", US_national_yearly!$D:$AM, 10, FALSE), 1)</f>
        <v>0.10957711715291915</v>
      </c>
      <c r="M15" s="7">
        <f>$B15 * IFERROR(VLOOKUP("buildings|NOx|Work loss days", US_national_yearly!$D:$AM, 21, FALSE) / VLOOKUP("buildings|NOx|Work loss days", US_national_yearly!$D:$AM, 10, FALSE), 1)</f>
        <v>0.11013535428075322</v>
      </c>
      <c r="N15" s="7">
        <f>$B15 * IFERROR(VLOOKUP("buildings|NOx|Work loss days", US_national_yearly!$D:$AM, 22, FALSE) / VLOOKUP("buildings|NOx|Work loss days", US_national_yearly!$D:$AM, 10, FALSE), 1)</f>
        <v>0.11086162170486846</v>
      </c>
      <c r="O15" s="7">
        <f>$B15 * IFERROR(VLOOKUP("buildings|NOx|Work loss days", US_national_yearly!$D:$AM, 23, FALSE) / VLOOKUP("buildings|NOx|Work loss days", US_national_yearly!$D:$AM, 10, FALSE), 1)</f>
        <v>0.11158788912898371</v>
      </c>
      <c r="P15" s="7">
        <f>$B15 * IFERROR(VLOOKUP("buildings|NOx|Work loss days", US_national_yearly!$D:$AM, 24, FALSE) / VLOOKUP("buildings|NOx|Work loss days", US_national_yearly!$D:$AM, 10, FALSE), 1)</f>
        <v>0.11231415655309897</v>
      </c>
      <c r="Q15" s="7">
        <f>$B15 * IFERROR(VLOOKUP("buildings|NOx|Work loss days", US_national_yearly!$D:$AM, 25, FALSE) / VLOOKUP("buildings|NOx|Work loss days", US_national_yearly!$D:$AM, 10, FALSE), 1)</f>
        <v>0.11304042397721424</v>
      </c>
      <c r="R15" s="7">
        <f>$B15 * IFERROR(VLOOKUP("buildings|NOx|Work loss days", US_national_yearly!$D:$AM, 26, FALSE) / VLOOKUP("buildings|NOx|Work loss days", US_national_yearly!$D:$AM, 10, FALSE), 1)</f>
        <v>0.11376669140132949</v>
      </c>
      <c r="S15" s="7">
        <f>$B15 * IFERROR(VLOOKUP("buildings|NOx|Work loss days", US_national_yearly!$D:$AM, 27, FALSE) / VLOOKUP("buildings|NOx|Work loss days", US_national_yearly!$D:$AM, 10, FALSE), 1)</f>
        <v>0.11457598916810241</v>
      </c>
      <c r="T15" s="7">
        <f>$B15 * IFERROR(VLOOKUP("buildings|NOx|Work loss days", US_national_yearly!$D:$AM, 28, FALSE) / VLOOKUP("buildings|NOx|Work loss days", US_national_yearly!$D:$AM, 10, FALSE), 1)</f>
        <v>0.11538528693487536</v>
      </c>
      <c r="U15" s="7">
        <f>$B15 * IFERROR(VLOOKUP("buildings|NOx|Work loss days", US_national_yearly!$D:$AM, 29, FALSE) / VLOOKUP("buildings|NOx|Work loss days", US_national_yearly!$D:$AM, 10, FALSE), 1)</f>
        <v>0.1161945847016483</v>
      </c>
      <c r="V15" s="7">
        <f>$B15 * IFERROR(VLOOKUP("buildings|NOx|Work loss days", US_national_yearly!$D:$AM, 30, FALSE) / VLOOKUP("buildings|NOx|Work loss days", US_national_yearly!$D:$AM, 10, FALSE), 1)</f>
        <v>0.11700388246842122</v>
      </c>
      <c r="W15" s="7">
        <f>$B15 * IFERROR(VLOOKUP("buildings|NOx|Work loss days", US_national_yearly!$D:$AM, 31, FALSE) / VLOOKUP("buildings|NOx|Work loss days", US_national_yearly!$D:$AM, 10, FALSE), 1)</f>
        <v>0.11781318023519415</v>
      </c>
      <c r="X15" s="7">
        <f>$B15 * IFERROR(VLOOKUP("buildings|NOx|Work loss days", US_national_yearly!$D:$AM, 32, FALSE) / VLOOKUP("buildings|NOx|Work loss days", US_national_yearly!$D:$AM, 10, FALSE), 1)</f>
        <v>0.11851581978918496</v>
      </c>
      <c r="Y15" s="7">
        <f>$B15 * IFERROR(VLOOKUP("buildings|NOx|Work loss days", US_national_yearly!$D:$AM, 33, FALSE) / VLOOKUP("buildings|NOx|Work loss days", US_national_yearly!$D:$AM, 10, FALSE), 1)</f>
        <v>0.11921845934317576</v>
      </c>
      <c r="Z15" s="7">
        <f>$B15 * IFERROR(VLOOKUP("buildings|NOx|Work loss days", US_national_yearly!$D:$AM, 34, FALSE) / VLOOKUP("buildings|NOx|Work loss days", US_national_yearly!$D:$AM, 10, FALSE), 1)</f>
        <v>0.11992109889716657</v>
      </c>
      <c r="AA15" s="7">
        <f>$B15 * IFERROR(VLOOKUP("buildings|NOx|Work loss days", US_national_yearly!$D:$AM, 35, FALSE) / VLOOKUP("buildings|NOx|Work loss days", US_national_yearly!$D:$AM, 10, FALSE), 1)</f>
        <v>0.12062373845115737</v>
      </c>
      <c r="AB15" s="7">
        <f>$B15 * IFERROR(VLOOKUP("buildings|NOx|Work loss days", US_national_yearly!$D:$AM, 36, FALSE) / VLOOKUP("buildings|NOx|Work loss days", US_national_yearly!$D:$AM, 10, FALSE), 1)</f>
        <v>0.12132637800514817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9.2232540663757221E-5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9.4944185554982028E-5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9.765583044620685E-5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1.0036747533743164E-4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1.0307912022865645E-4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1.0565513355700873E-4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1.0823114688536101E-4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1.1039860777091206E-4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1.1256606865646308E-4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1.1473352954201409E-4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1.1690099042756511E-4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1.190684513131161E-4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1.2042427213586702E-4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1.217800929586179E-4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1.2313591378136879E-4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1.2449173460411968E-4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1.2584755542687057E-4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1.264670685378961E-4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1.270865816489216E-4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1.2770609475994712E-4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1.2832560787097262E-4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1.2894512098199815E-4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1.2929043133496428E-4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1.2963574168793041E-4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1.2998105204089654E-4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1.3032636239386267E-4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1.3067167274682879E-4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1.0277216384550068E-3</v>
      </c>
      <c r="C2" s="7">
        <f>$B2 * IFERROR(VLOOKUP("buildings|SO2|Premature mortality", US_national_yearly!$D:$AM, 11, FALSE) / VLOOKUP("buildings|SO2|Premature mortality", US_national_yearly!$D:$AM, 10, FALSE), 1)</f>
        <v>1.0407412394222435E-3</v>
      </c>
      <c r="D2" s="7">
        <f>$B2 * IFERROR(VLOOKUP("buildings|SO2|Premature mortality", US_national_yearly!$D:$AM, 12, FALSE) / VLOOKUP("buildings|SO2|Premature mortality", US_national_yearly!$D:$AM, 10, FALSE), 1)</f>
        <v>1.05376084038948E-3</v>
      </c>
      <c r="E2" s="7">
        <f>$B2 * IFERROR(VLOOKUP("buildings|SO2|Premature mortality", US_national_yearly!$D:$AM, 13, FALSE) / VLOOKUP("buildings|SO2|Premature mortality", US_national_yearly!$D:$AM, 10, FALSE), 1)</f>
        <v>1.0667804413567168E-3</v>
      </c>
      <c r="F2" s="7">
        <f>$B2 * IFERROR(VLOOKUP("buildings|SO2|Premature mortality", US_national_yearly!$D:$AM, 14, FALSE) / VLOOKUP("buildings|SO2|Premature mortality", US_national_yearly!$D:$AM, 10, FALSE), 1)</f>
        <v>1.0798000423239535E-3</v>
      </c>
      <c r="G2" s="7">
        <f>$B2 * IFERROR(VLOOKUP("buildings|SO2|Premature mortality", US_national_yearly!$D:$AM, 15, FALSE) / VLOOKUP("buildings|SO2|Premature mortality", US_national_yearly!$D:$AM, 10, FALSE), 1)</f>
        <v>1.1048861716176708E-3</v>
      </c>
      <c r="H2" s="7">
        <f>$B2 * IFERROR(VLOOKUP("buildings|SO2|Premature mortality", US_national_yearly!$D:$AM, 16, FALSE) / VLOOKUP("buildings|SO2|Premature mortality", US_national_yearly!$D:$AM, 10, FALSE), 1)</f>
        <v>1.1299723009113884E-3</v>
      </c>
      <c r="I2" s="7">
        <f>$B2 * IFERROR(VLOOKUP("buildings|SO2|Premature mortality", US_national_yearly!$D:$AM, 17, FALSE) / VLOOKUP("buildings|SO2|Premature mortality", US_national_yearly!$D:$AM, 10, FALSE), 1)</f>
        <v>1.1465591055098579E-3</v>
      </c>
      <c r="J2" s="7">
        <f>$B2 * IFERROR(VLOOKUP("buildings|SO2|Premature mortality", US_national_yearly!$D:$AM, 18, FALSE) / VLOOKUP("buildings|SO2|Premature mortality", US_national_yearly!$D:$AM, 10, FALSE), 1)</f>
        <v>1.1631459101083272E-3</v>
      </c>
      <c r="K2" s="7">
        <f>$B2 * IFERROR(VLOOKUP("buildings|SO2|Premature mortality", US_national_yearly!$D:$AM, 19, FALSE) / VLOOKUP("buildings|SO2|Premature mortality", US_national_yearly!$D:$AM, 10, FALSE), 1)</f>
        <v>1.1797327147067967E-3</v>
      </c>
      <c r="L2" s="7">
        <f>$B2 * IFERROR(VLOOKUP("buildings|SO2|Premature mortality", US_national_yearly!$D:$AM, 20, FALSE) / VLOOKUP("buildings|SO2|Premature mortality", US_national_yearly!$D:$AM, 10, FALSE), 1)</f>
        <v>1.1963195193052663E-3</v>
      </c>
      <c r="M2" s="7">
        <f>$B2 * IFERROR(VLOOKUP("buildings|SO2|Premature mortality", US_national_yearly!$D:$AM, 21, FALSE) / VLOOKUP("buildings|SO2|Premature mortality", US_national_yearly!$D:$AM, 10, FALSE), 1)</f>
        <v>1.2129063239037358E-3</v>
      </c>
      <c r="N2" s="7">
        <f>$B2 * IFERROR(VLOOKUP("buildings|SO2|Premature mortality", US_national_yearly!$D:$AM, 22, FALSE) / VLOOKUP("buildings|SO2|Premature mortality", US_national_yearly!$D:$AM, 10, FALSE), 1)</f>
        <v>1.2258633530325535E-3</v>
      </c>
      <c r="O2" s="7">
        <f>$B2 * IFERROR(VLOOKUP("buildings|SO2|Premature mortality", US_national_yearly!$D:$AM, 23, FALSE) / VLOOKUP("buildings|SO2|Premature mortality", US_national_yearly!$D:$AM, 10, FALSE), 1)</f>
        <v>1.2388203821613705E-3</v>
      </c>
      <c r="P2" s="7">
        <f>$B2 * IFERROR(VLOOKUP("buildings|SO2|Premature mortality", US_national_yearly!$D:$AM, 24, FALSE) / VLOOKUP("buildings|SO2|Premature mortality", US_national_yearly!$D:$AM, 10, FALSE), 1)</f>
        <v>1.251777411290188E-3</v>
      </c>
      <c r="Q2" s="7">
        <f>$B2 * IFERROR(VLOOKUP("buildings|SO2|Premature mortality", US_national_yearly!$D:$AM, 25, FALSE) / VLOOKUP("buildings|SO2|Premature mortality", US_national_yearly!$D:$AM, 10, FALSE), 1)</f>
        <v>1.2647344404190053E-3</v>
      </c>
      <c r="R2" s="7">
        <f>$B2 * IFERROR(VLOOKUP("buildings|SO2|Premature mortality", US_national_yearly!$D:$AM, 26, FALSE) / VLOOKUP("buildings|SO2|Premature mortality", US_national_yearly!$D:$AM, 10, FALSE), 1)</f>
        <v>1.277691469547823E-3</v>
      </c>
      <c r="S2" s="7">
        <f>$B2 * IFERROR(VLOOKUP("buildings|SO2|Premature mortality", US_national_yearly!$D:$AM, 27, FALSE) / VLOOKUP("buildings|SO2|Premature mortality", US_national_yearly!$D:$AM, 10, FALSE), 1)</f>
        <v>1.2846262194386991E-3</v>
      </c>
      <c r="T2" s="7">
        <f>$B2 * IFERROR(VLOOKUP("buildings|SO2|Premature mortality", US_national_yearly!$D:$AM, 28, FALSE) / VLOOKUP("buildings|SO2|Premature mortality", US_national_yearly!$D:$AM, 10, FALSE), 1)</f>
        <v>1.2915609693295753E-3</v>
      </c>
      <c r="U2" s="7">
        <f>$B2 * IFERROR(VLOOKUP("buildings|SO2|Premature mortality", US_national_yearly!$D:$AM, 29, FALSE) / VLOOKUP("buildings|SO2|Premature mortality", US_national_yearly!$D:$AM, 10, FALSE), 1)</f>
        <v>1.2984957192204512E-3</v>
      </c>
      <c r="V2" s="7">
        <f>$B2 * IFERROR(VLOOKUP("buildings|SO2|Premature mortality", US_national_yearly!$D:$AM, 30, FALSE) / VLOOKUP("buildings|SO2|Premature mortality", US_national_yearly!$D:$AM, 10, FALSE), 1)</f>
        <v>1.3054304691113275E-3</v>
      </c>
      <c r="W2" s="7">
        <f>$B2 * IFERROR(VLOOKUP("buildings|SO2|Premature mortality", US_national_yearly!$D:$AM, 31, FALSE) / VLOOKUP("buildings|SO2|Premature mortality", US_national_yearly!$D:$AM, 10, FALSE), 1)</f>
        <v>1.3123652190022035E-3</v>
      </c>
      <c r="X2" s="7">
        <f>$B2 * IFERROR(VLOOKUP("buildings|SO2|Premature mortality", US_national_yearly!$D:$AM, 32, FALSE) / VLOOKUP("buildings|SO2|Premature mortality", US_national_yearly!$D:$AM, 10, FALSE), 1)</f>
        <v>1.3137664889342001E-3</v>
      </c>
      <c r="Y2" s="7">
        <f>$B2 * IFERROR(VLOOKUP("buildings|SO2|Premature mortality", US_national_yearly!$D:$AM, 33, FALSE) / VLOOKUP("buildings|SO2|Premature mortality", US_national_yearly!$D:$AM, 10, FALSE), 1)</f>
        <v>1.3151677588661966E-3</v>
      </c>
      <c r="Z2" s="7">
        <f>$B2 * IFERROR(VLOOKUP("buildings|SO2|Premature mortality", US_national_yearly!$D:$AM, 34, FALSE) / VLOOKUP("buildings|SO2|Premature mortality", US_national_yearly!$D:$AM, 10, FALSE), 1)</f>
        <v>1.3165690287981929E-3</v>
      </c>
      <c r="AA2" s="7">
        <f>$B2 * IFERROR(VLOOKUP("buildings|SO2|Premature mortality", US_national_yearly!$D:$AM, 35, FALSE) / VLOOKUP("buildings|SO2|Premature mortality", US_national_yearly!$D:$AM, 10, FALSE), 1)</f>
        <v>1.3179702987301894E-3</v>
      </c>
      <c r="AB2" s="7">
        <f>$B2 * IFERROR(VLOOKUP("buildings|SO2|Premature mortality", US_national_yearly!$D:$AM, 36, FALSE) / VLOOKUP("buildings|SO2|Premature mortality", US_national_yearly!$D:$AM, 10, FALSE), 1)</f>
        <v>1.3193715686621859E-3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4.8497676954713221E-6</v>
      </c>
      <c r="C3" s="7">
        <f>$B3 * IFERROR(VLOOKUP("buildings|SO2|Infant mortality", US_national_yearly!$D:$AM, 11, FALSE) / VLOOKUP("buildings|SO2|Infant mortality", US_national_yearly!$D:$AM, 10, FALSE), 1)</f>
        <v>4.8081983617104441E-6</v>
      </c>
      <c r="D3" s="7">
        <f>$B3 * IFERROR(VLOOKUP("buildings|SO2|Infant mortality", US_national_yearly!$D:$AM, 12, FALSE) / VLOOKUP("buildings|SO2|Infant mortality", US_national_yearly!$D:$AM, 10, FALSE), 1)</f>
        <v>4.7666290279495652E-6</v>
      </c>
      <c r="E3" s="7">
        <f>$B3 * IFERROR(VLOOKUP("buildings|SO2|Infant mortality", US_national_yearly!$D:$AM, 13, FALSE) / VLOOKUP("buildings|SO2|Infant mortality", US_national_yearly!$D:$AM, 10, FALSE), 1)</f>
        <v>4.7250596941886872E-6</v>
      </c>
      <c r="F3" s="7">
        <f>$B3 * IFERROR(VLOOKUP("buildings|SO2|Infant mortality", US_national_yearly!$D:$AM, 14, FALSE) / VLOOKUP("buildings|SO2|Infant mortality", US_national_yearly!$D:$AM, 10, FALSE), 1)</f>
        <v>4.6834903604278091E-6</v>
      </c>
      <c r="G3" s="7">
        <f>$B3 * IFERROR(VLOOKUP("buildings|SO2|Infant mortality", US_national_yearly!$D:$AM, 15, FALSE) / VLOOKUP("buildings|SO2|Infant mortality", US_national_yearly!$D:$AM, 10, FALSE), 1)</f>
        <v>3.1190190354091608E-6</v>
      </c>
      <c r="H3" s="7">
        <f>$B3 * IFERROR(VLOOKUP("buildings|SO2|Infant mortality", US_national_yearly!$D:$AM, 16, FALSE) / VLOOKUP("buildings|SO2|Infant mortality", US_national_yearly!$D:$AM, 10, FALSE), 1)</f>
        <v>1.554547710390512E-6</v>
      </c>
      <c r="I3" s="7">
        <f>$B3 * IFERROR(VLOOKUP("buildings|SO2|Infant mortality", US_national_yearly!$D:$AM, 17, FALSE) / VLOOKUP("buildings|SO2|Infant mortality", US_national_yearly!$D:$AM, 10, FALSE), 1)</f>
        <v>1.5447943063868731E-6</v>
      </c>
      <c r="J3" s="7">
        <f>$B3 * IFERROR(VLOOKUP("buildings|SO2|Infant mortality", US_national_yearly!$D:$AM, 18, FALSE) / VLOOKUP("buildings|SO2|Infant mortality", US_national_yearly!$D:$AM, 10, FALSE), 1)</f>
        <v>1.5350409023832342E-6</v>
      </c>
      <c r="K3" s="7">
        <f>$B3 * IFERROR(VLOOKUP("buildings|SO2|Infant mortality", US_national_yearly!$D:$AM, 19, FALSE) / VLOOKUP("buildings|SO2|Infant mortality", US_national_yearly!$D:$AM, 10, FALSE), 1)</f>
        <v>1.5252874983795953E-6</v>
      </c>
      <c r="L3" s="7">
        <f>$B3 * IFERROR(VLOOKUP("buildings|SO2|Infant mortality", US_national_yearly!$D:$AM, 20, FALSE) / VLOOKUP("buildings|SO2|Infant mortality", US_national_yearly!$D:$AM, 10, FALSE), 1)</f>
        <v>1.5155340943759561E-6</v>
      </c>
      <c r="M3" s="7">
        <f>$B3 * IFERROR(VLOOKUP("buildings|SO2|Infant mortality", US_national_yearly!$D:$AM, 21, FALSE) / VLOOKUP("buildings|SO2|Infant mortality", US_national_yearly!$D:$AM, 10, FALSE), 1)</f>
        <v>1.5057806903723175E-6</v>
      </c>
      <c r="N3" s="7">
        <f>$B3 * IFERROR(VLOOKUP("buildings|SO2|Infant mortality", US_national_yearly!$D:$AM, 22, FALSE) / VLOOKUP("buildings|SO2|Infant mortality", US_national_yearly!$D:$AM, 10, FALSE), 1)</f>
        <v>1.4996663421858819E-6</v>
      </c>
      <c r="O3" s="7">
        <f>$B3 * IFERROR(VLOOKUP("buildings|SO2|Infant mortality", US_national_yearly!$D:$AM, 23, FALSE) / VLOOKUP("buildings|SO2|Infant mortality", US_national_yearly!$D:$AM, 10, FALSE), 1)</f>
        <v>1.4935519939994464E-6</v>
      </c>
      <c r="P3" s="7">
        <f>$B3 * IFERROR(VLOOKUP("buildings|SO2|Infant mortality", US_national_yearly!$D:$AM, 24, FALSE) / VLOOKUP("buildings|SO2|Infant mortality", US_national_yearly!$D:$AM, 10, FALSE), 1)</f>
        <v>1.487437645813011E-6</v>
      </c>
      <c r="Q3" s="7">
        <f>$B3 * IFERROR(VLOOKUP("buildings|SO2|Infant mortality", US_national_yearly!$D:$AM, 25, FALSE) / VLOOKUP("buildings|SO2|Infant mortality", US_national_yearly!$D:$AM, 10, FALSE), 1)</f>
        <v>1.4813232976265755E-6</v>
      </c>
      <c r="R3" s="7">
        <f>$B3 * IFERROR(VLOOKUP("buildings|SO2|Infant mortality", US_national_yearly!$D:$AM, 26, FALSE) / VLOOKUP("buildings|SO2|Infant mortality", US_national_yearly!$D:$AM, 10, FALSE), 1)</f>
        <v>1.4752089494401402E-6</v>
      </c>
      <c r="S3" s="7">
        <f>$B3 * IFERROR(VLOOKUP("buildings|SO2|Infant mortality", US_national_yearly!$D:$AM, 27, FALSE) / VLOOKUP("buildings|SO2|Infant mortality", US_national_yearly!$D:$AM, 10, FALSE), 1)</f>
        <v>1.4675312665558836E-6</v>
      </c>
      <c r="T3" s="7">
        <f>$B3 * IFERROR(VLOOKUP("buildings|SO2|Infant mortality", US_national_yearly!$D:$AM, 28, FALSE) / VLOOKUP("buildings|SO2|Infant mortality", US_national_yearly!$D:$AM, 10, FALSE), 1)</f>
        <v>1.4598535836716271E-6</v>
      </c>
      <c r="U3" s="7">
        <f>$B3 * IFERROR(VLOOKUP("buildings|SO2|Infant mortality", US_national_yearly!$D:$AM, 29, FALSE) / VLOOKUP("buildings|SO2|Infant mortality", US_national_yearly!$D:$AM, 10, FALSE), 1)</f>
        <v>1.4521759007873706E-6</v>
      </c>
      <c r="V3" s="7">
        <f>$B3 * IFERROR(VLOOKUP("buildings|SO2|Infant mortality", US_national_yearly!$D:$AM, 30, FALSE) / VLOOKUP("buildings|SO2|Infant mortality", US_national_yearly!$D:$AM, 10, FALSE), 1)</f>
        <v>1.444498217903114E-6</v>
      </c>
      <c r="W3" s="7">
        <f>$B3 * IFERROR(VLOOKUP("buildings|SO2|Infant mortality", US_national_yearly!$D:$AM, 31, FALSE) / VLOOKUP("buildings|SO2|Infant mortality", US_national_yearly!$D:$AM, 10, FALSE), 1)</f>
        <v>1.4368205350188575E-6</v>
      </c>
      <c r="X3" s="7">
        <f>$B3 * IFERROR(VLOOKUP("buildings|SO2|Infant mortality", US_national_yearly!$D:$AM, 32, FALSE) / VLOOKUP("buildings|SO2|Infant mortality", US_national_yearly!$D:$AM, 10, FALSE), 1)</f>
        <v>1.4284352887682772E-6</v>
      </c>
      <c r="Y3" s="7">
        <f>$B3 * IFERROR(VLOOKUP("buildings|SO2|Infant mortality", US_national_yearly!$D:$AM, 33, FALSE) / VLOOKUP("buildings|SO2|Infant mortality", US_national_yearly!$D:$AM, 10, FALSE), 1)</f>
        <v>1.4200500425176966E-6</v>
      </c>
      <c r="Z3" s="7">
        <f>$B3 * IFERROR(VLOOKUP("buildings|SO2|Infant mortality", US_national_yearly!$D:$AM, 34, FALSE) / VLOOKUP("buildings|SO2|Infant mortality", US_national_yearly!$D:$AM, 10, FALSE), 1)</f>
        <v>1.4116647962671165E-6</v>
      </c>
      <c r="AA3" s="7">
        <f>$B3 * IFERROR(VLOOKUP("buildings|SO2|Infant mortality", US_national_yearly!$D:$AM, 35, FALSE) / VLOOKUP("buildings|SO2|Infant mortality", US_national_yearly!$D:$AM, 10, FALSE), 1)</f>
        <v>1.4032795500165357E-6</v>
      </c>
      <c r="AB3" s="7">
        <f>$B3 * IFERROR(VLOOKUP("buildings|SO2|Infant mortality", US_national_yearly!$D:$AM, 36, FALSE) / VLOOKUP("buildings|SO2|Infant mortality", US_national_yearly!$D:$AM, 10, FALSE), 1)</f>
        <v>1.3948943037659553E-6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5.2676967431664161E-3</v>
      </c>
      <c r="C6" s="7">
        <f>$B6 * IFERROR(VLOOKUP("buildings|SO2|Asthma symptoms cough", US_national_yearly!$D:$AM, 11, FALSE) / VLOOKUP("buildings|SO2|Asthma symptoms cough", US_national_yearly!$D:$AM, 10, FALSE), 1)</f>
        <v>5.2676967431664161E-3</v>
      </c>
      <c r="D6" s="7">
        <f>$B6 * IFERROR(VLOOKUP("buildings|SO2|Asthma symptoms cough", US_national_yearly!$D:$AM, 12, FALSE) / VLOOKUP("buildings|SO2|Asthma symptoms cough", US_national_yearly!$D:$AM, 10, FALSE), 1)</f>
        <v>5.2676967431664161E-3</v>
      </c>
      <c r="E6" s="7">
        <f>$B6 * IFERROR(VLOOKUP("buildings|SO2|Asthma symptoms cough", US_national_yearly!$D:$AM, 13, FALSE) / VLOOKUP("buildings|SO2|Asthma symptoms cough", US_national_yearly!$D:$AM, 10, FALSE), 1)</f>
        <v>5.2676967431664161E-3</v>
      </c>
      <c r="F6" s="7">
        <f>$B6 * IFERROR(VLOOKUP("buildings|SO2|Asthma symptoms cough", US_national_yearly!$D:$AM, 14, FALSE) / VLOOKUP("buildings|SO2|Asthma symptoms cough", US_national_yearly!$D:$AM, 10, FALSE), 1)</f>
        <v>5.2676967431664161E-3</v>
      </c>
      <c r="G6" s="7">
        <f>$B6 * IFERROR(VLOOKUP("buildings|SO2|Asthma symptoms cough", US_national_yearly!$D:$AM, 15, FALSE) / VLOOKUP("buildings|SO2|Asthma symptoms cough", US_national_yearly!$D:$AM, 10, FALSE), 1)</f>
        <v>5.2676967431664161E-3</v>
      </c>
      <c r="H6" s="7">
        <f>$B6 * IFERROR(VLOOKUP("buildings|SO2|Asthma symptoms cough", US_national_yearly!$D:$AM, 16, FALSE) / VLOOKUP("buildings|SO2|Asthma symptoms cough", US_national_yearly!$D:$AM, 10, FALSE), 1)</f>
        <v>5.2676967431664161E-3</v>
      </c>
      <c r="I6" s="7">
        <f>$B6 * IFERROR(VLOOKUP("buildings|SO2|Asthma symptoms cough", US_national_yearly!$D:$AM, 17, FALSE) / VLOOKUP("buildings|SO2|Asthma symptoms cough", US_national_yearly!$D:$AM, 10, FALSE), 1)</f>
        <v>5.2676967431664161E-3</v>
      </c>
      <c r="J6" s="7">
        <f>$B6 * IFERROR(VLOOKUP("buildings|SO2|Asthma symptoms cough", US_national_yearly!$D:$AM, 18, FALSE) / VLOOKUP("buildings|SO2|Asthma symptoms cough", US_national_yearly!$D:$AM, 10, FALSE), 1)</f>
        <v>5.2676967431664161E-3</v>
      </c>
      <c r="K6" s="7">
        <f>$B6 * IFERROR(VLOOKUP("buildings|SO2|Asthma symptoms cough", US_national_yearly!$D:$AM, 19, FALSE) / VLOOKUP("buildings|SO2|Asthma symptoms cough", US_national_yearly!$D:$AM, 10, FALSE), 1)</f>
        <v>5.2676967431664161E-3</v>
      </c>
      <c r="L6" s="7">
        <f>$B6 * IFERROR(VLOOKUP("buildings|SO2|Asthma symptoms cough", US_national_yearly!$D:$AM, 20, FALSE) / VLOOKUP("buildings|SO2|Asthma symptoms cough", US_national_yearly!$D:$AM, 10, FALSE), 1)</f>
        <v>5.2676967431664161E-3</v>
      </c>
      <c r="M6" s="7">
        <f>$B6 * IFERROR(VLOOKUP("buildings|SO2|Asthma symptoms cough", US_national_yearly!$D:$AM, 21, FALSE) / VLOOKUP("buildings|SO2|Asthma symptoms cough", US_national_yearly!$D:$AM, 10, FALSE), 1)</f>
        <v>5.2676967431664161E-3</v>
      </c>
      <c r="N6" s="7">
        <f>$B6 * IFERROR(VLOOKUP("buildings|SO2|Asthma symptoms cough", US_national_yearly!$D:$AM, 22, FALSE) / VLOOKUP("buildings|SO2|Asthma symptoms cough", US_national_yearly!$D:$AM, 10, FALSE), 1)</f>
        <v>5.2676967431664161E-3</v>
      </c>
      <c r="O6" s="7">
        <f>$B6 * IFERROR(VLOOKUP("buildings|SO2|Asthma symptoms cough", US_national_yearly!$D:$AM, 23, FALSE) / VLOOKUP("buildings|SO2|Asthma symptoms cough", US_national_yearly!$D:$AM, 10, FALSE), 1)</f>
        <v>5.2676967431664161E-3</v>
      </c>
      <c r="P6" s="7">
        <f>$B6 * IFERROR(VLOOKUP("buildings|SO2|Asthma symptoms cough", US_national_yearly!$D:$AM, 24, FALSE) / VLOOKUP("buildings|SO2|Asthma symptoms cough", US_national_yearly!$D:$AM, 10, FALSE), 1)</f>
        <v>5.2676967431664161E-3</v>
      </c>
      <c r="Q6" s="7">
        <f>$B6 * IFERROR(VLOOKUP("buildings|SO2|Asthma symptoms cough", US_national_yearly!$D:$AM, 25, FALSE) / VLOOKUP("buildings|SO2|Asthma symptoms cough", US_national_yearly!$D:$AM, 10, FALSE), 1)</f>
        <v>5.2676967431664161E-3</v>
      </c>
      <c r="R6" s="7">
        <f>$B6 * IFERROR(VLOOKUP("buildings|SO2|Asthma symptoms cough", US_national_yearly!$D:$AM, 26, FALSE) / VLOOKUP("buildings|SO2|Asthma symptoms cough", US_national_yearly!$D:$AM, 10, FALSE), 1)</f>
        <v>5.2676967431664161E-3</v>
      </c>
      <c r="S6" s="7">
        <f>$B6 * IFERROR(VLOOKUP("buildings|SO2|Asthma symptoms cough", US_national_yearly!$D:$AM, 27, FALSE) / VLOOKUP("buildings|SO2|Asthma symptoms cough", US_national_yearly!$D:$AM, 10, FALSE), 1)</f>
        <v>5.2676967431664161E-3</v>
      </c>
      <c r="T6" s="7">
        <f>$B6 * IFERROR(VLOOKUP("buildings|SO2|Asthma symptoms cough", US_national_yearly!$D:$AM, 28, FALSE) / VLOOKUP("buildings|SO2|Asthma symptoms cough", US_national_yearly!$D:$AM, 10, FALSE), 1)</f>
        <v>5.2676967431664161E-3</v>
      </c>
      <c r="U6" s="7">
        <f>$B6 * IFERROR(VLOOKUP("buildings|SO2|Asthma symptoms cough", US_national_yearly!$D:$AM, 29, FALSE) / VLOOKUP("buildings|SO2|Asthma symptoms cough", US_national_yearly!$D:$AM, 10, FALSE), 1)</f>
        <v>5.2676967431664161E-3</v>
      </c>
      <c r="V6" s="7">
        <f>$B6 * IFERROR(VLOOKUP("buildings|SO2|Asthma symptoms cough", US_national_yearly!$D:$AM, 30, FALSE) / VLOOKUP("buildings|SO2|Asthma symptoms cough", US_national_yearly!$D:$AM, 10, FALSE), 1)</f>
        <v>5.2676967431664161E-3</v>
      </c>
      <c r="W6" s="7">
        <f>$B6 * IFERROR(VLOOKUP("buildings|SO2|Asthma symptoms cough", US_national_yearly!$D:$AM, 31, FALSE) / VLOOKUP("buildings|SO2|Asthma symptoms cough", US_national_yearly!$D:$AM, 10, FALSE), 1)</f>
        <v>5.2676967431664161E-3</v>
      </c>
      <c r="X6" s="7">
        <f>$B6 * IFERROR(VLOOKUP("buildings|SO2|Asthma symptoms cough", US_national_yearly!$D:$AM, 32, FALSE) / VLOOKUP("buildings|SO2|Asthma symptoms cough", US_national_yearly!$D:$AM, 10, FALSE), 1)</f>
        <v>5.2676967431664161E-3</v>
      </c>
      <c r="Y6" s="7">
        <f>$B6 * IFERROR(VLOOKUP("buildings|SO2|Asthma symptoms cough", US_national_yearly!$D:$AM, 33, FALSE) / VLOOKUP("buildings|SO2|Asthma symptoms cough", US_national_yearly!$D:$AM, 10, FALSE), 1)</f>
        <v>5.2676967431664161E-3</v>
      </c>
      <c r="Z6" s="7">
        <f>$B6 * IFERROR(VLOOKUP("buildings|SO2|Asthma symptoms cough", US_national_yearly!$D:$AM, 34, FALSE) / VLOOKUP("buildings|SO2|Asthma symptoms cough", US_national_yearly!$D:$AM, 10, FALSE), 1)</f>
        <v>5.2676967431664161E-3</v>
      </c>
      <c r="AA6" s="7">
        <f>$B6 * IFERROR(VLOOKUP("buildings|SO2|Asthma symptoms cough", US_national_yearly!$D:$AM, 35, FALSE) / VLOOKUP("buildings|SO2|Asthma symptoms cough", US_national_yearly!$D:$AM, 10, FALSE), 1)</f>
        <v>5.2676967431664161E-3</v>
      </c>
      <c r="AB6" s="7">
        <f>$B6 * IFERROR(VLOOKUP("buildings|SO2|Asthma symptoms cough", US_national_yearly!$D:$AM, 36, FALSE) / VLOOKUP("buildings|SO2|Asthma symptoms cough", US_national_yearly!$D:$AM, 10, FALSE), 1)</f>
        <v>5.2676967431664161E-3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7.0937270515572205E-3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7.0937270515572205E-3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7.0937270515572205E-3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7.0937270515572205E-3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7.0937270515572205E-3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7.0937270515572205E-3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7.0937270515572205E-3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7.0937270515572205E-3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7.0937270515572205E-3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7.0937270515572205E-3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7.0937270515572205E-3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7.0937270515572205E-3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7.0937270515572205E-3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7.0937270515572205E-3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7.0937270515572205E-3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7.0937270515572205E-3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7.0937270515572205E-3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7.0937270515572205E-3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7.0937270515572205E-3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7.0937270515572205E-3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7.0937270515572205E-3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7.0937270515572205E-3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7.0937270515572205E-3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7.0937270515572205E-3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7.0937270515572205E-3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7.0937270515572205E-3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7.0937270515572205E-3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1.0837980582159328E-2</v>
      </c>
      <c r="C8" s="7">
        <f>$B8 * IFERROR(VLOOKUP("buildings|SO2|Asthma symptoms wheeze", US_national_yearly!$D:$AM, 11, FALSE) / VLOOKUP("buildings|SO2|Asthma symptoms wheeze", US_national_yearly!$D:$AM, 10, FALSE), 1)</f>
        <v>1.0837980582159328E-2</v>
      </c>
      <c r="D8" s="7">
        <f>$B8 * IFERROR(VLOOKUP("buildings|SO2|Asthma symptoms wheeze", US_national_yearly!$D:$AM, 12, FALSE) / VLOOKUP("buildings|SO2|Asthma symptoms wheeze", US_national_yearly!$D:$AM, 10, FALSE), 1)</f>
        <v>1.0837980582159328E-2</v>
      </c>
      <c r="E8" s="7">
        <f>$B8 * IFERROR(VLOOKUP("buildings|SO2|Asthma symptoms wheeze", US_national_yearly!$D:$AM, 13, FALSE) / VLOOKUP("buildings|SO2|Asthma symptoms wheeze", US_national_yearly!$D:$AM, 10, FALSE), 1)</f>
        <v>1.0837980582159328E-2</v>
      </c>
      <c r="F8" s="7">
        <f>$B8 * IFERROR(VLOOKUP("buildings|SO2|Asthma symptoms wheeze", US_national_yearly!$D:$AM, 14, FALSE) / VLOOKUP("buildings|SO2|Asthma symptoms wheeze", US_national_yearly!$D:$AM, 10, FALSE), 1)</f>
        <v>1.0837980582159328E-2</v>
      </c>
      <c r="G8" s="7">
        <f>$B8 * IFERROR(VLOOKUP("buildings|SO2|Asthma symptoms wheeze", US_national_yearly!$D:$AM, 15, FALSE) / VLOOKUP("buildings|SO2|Asthma symptoms wheeze", US_national_yearly!$D:$AM, 10, FALSE), 1)</f>
        <v>1.0837980582159328E-2</v>
      </c>
      <c r="H8" s="7">
        <f>$B8 * IFERROR(VLOOKUP("buildings|SO2|Asthma symptoms wheeze", US_national_yearly!$D:$AM, 16, FALSE) / VLOOKUP("buildings|SO2|Asthma symptoms wheeze", US_national_yearly!$D:$AM, 10, FALSE), 1)</f>
        <v>1.0837980582159328E-2</v>
      </c>
      <c r="I8" s="7">
        <f>$B8 * IFERROR(VLOOKUP("buildings|SO2|Asthma symptoms wheeze", US_national_yearly!$D:$AM, 17, FALSE) / VLOOKUP("buildings|SO2|Asthma symptoms wheeze", US_national_yearly!$D:$AM, 10, FALSE), 1)</f>
        <v>1.0837980582159328E-2</v>
      </c>
      <c r="J8" s="7">
        <f>$B8 * IFERROR(VLOOKUP("buildings|SO2|Asthma symptoms wheeze", US_national_yearly!$D:$AM, 18, FALSE) / VLOOKUP("buildings|SO2|Asthma symptoms wheeze", US_national_yearly!$D:$AM, 10, FALSE), 1)</f>
        <v>1.0837980582159328E-2</v>
      </c>
      <c r="K8" s="7">
        <f>$B8 * IFERROR(VLOOKUP("buildings|SO2|Asthma symptoms wheeze", US_national_yearly!$D:$AM, 19, FALSE) / VLOOKUP("buildings|SO2|Asthma symptoms wheeze", US_national_yearly!$D:$AM, 10, FALSE), 1)</f>
        <v>1.0837980582159328E-2</v>
      </c>
      <c r="L8" s="7">
        <f>$B8 * IFERROR(VLOOKUP("buildings|SO2|Asthma symptoms wheeze", US_national_yearly!$D:$AM, 20, FALSE) / VLOOKUP("buildings|SO2|Asthma symptoms wheeze", US_national_yearly!$D:$AM, 10, FALSE), 1)</f>
        <v>1.0837980582159328E-2</v>
      </c>
      <c r="M8" s="7">
        <f>$B8 * IFERROR(VLOOKUP("buildings|SO2|Asthma symptoms wheeze", US_national_yearly!$D:$AM, 21, FALSE) / VLOOKUP("buildings|SO2|Asthma symptoms wheeze", US_national_yearly!$D:$AM, 10, FALSE), 1)</f>
        <v>1.0837980582159328E-2</v>
      </c>
      <c r="N8" s="7">
        <f>$B8 * IFERROR(VLOOKUP("buildings|SO2|Asthma symptoms wheeze", US_national_yearly!$D:$AM, 22, FALSE) / VLOOKUP("buildings|SO2|Asthma symptoms wheeze", US_national_yearly!$D:$AM, 10, FALSE), 1)</f>
        <v>1.0837980582159328E-2</v>
      </c>
      <c r="O8" s="7">
        <f>$B8 * IFERROR(VLOOKUP("buildings|SO2|Asthma symptoms wheeze", US_national_yearly!$D:$AM, 23, FALSE) / VLOOKUP("buildings|SO2|Asthma symptoms wheeze", US_national_yearly!$D:$AM, 10, FALSE), 1)</f>
        <v>1.0837980582159328E-2</v>
      </c>
      <c r="P8" s="7">
        <f>$B8 * IFERROR(VLOOKUP("buildings|SO2|Asthma symptoms wheeze", US_national_yearly!$D:$AM, 24, FALSE) / VLOOKUP("buildings|SO2|Asthma symptoms wheeze", US_national_yearly!$D:$AM, 10, FALSE), 1)</f>
        <v>1.0837980582159328E-2</v>
      </c>
      <c r="Q8" s="7">
        <f>$B8 * IFERROR(VLOOKUP("buildings|SO2|Asthma symptoms wheeze", US_national_yearly!$D:$AM, 25, FALSE) / VLOOKUP("buildings|SO2|Asthma symptoms wheeze", US_national_yearly!$D:$AM, 10, FALSE), 1)</f>
        <v>1.0837980582159328E-2</v>
      </c>
      <c r="R8" s="7">
        <f>$B8 * IFERROR(VLOOKUP("buildings|SO2|Asthma symptoms wheeze", US_national_yearly!$D:$AM, 26, FALSE) / VLOOKUP("buildings|SO2|Asthma symptoms wheeze", US_national_yearly!$D:$AM, 10, FALSE), 1)</f>
        <v>1.0837980582159328E-2</v>
      </c>
      <c r="S8" s="7">
        <f>$B8 * IFERROR(VLOOKUP("buildings|SO2|Asthma symptoms wheeze", US_national_yearly!$D:$AM, 27, FALSE) / VLOOKUP("buildings|SO2|Asthma symptoms wheeze", US_national_yearly!$D:$AM, 10, FALSE), 1)</f>
        <v>1.0837980582159328E-2</v>
      </c>
      <c r="T8" s="7">
        <f>$B8 * IFERROR(VLOOKUP("buildings|SO2|Asthma symptoms wheeze", US_national_yearly!$D:$AM, 28, FALSE) / VLOOKUP("buildings|SO2|Asthma symptoms wheeze", US_national_yearly!$D:$AM, 10, FALSE), 1)</f>
        <v>1.0837980582159328E-2</v>
      </c>
      <c r="U8" s="7">
        <f>$B8 * IFERROR(VLOOKUP("buildings|SO2|Asthma symptoms wheeze", US_national_yearly!$D:$AM, 29, FALSE) / VLOOKUP("buildings|SO2|Asthma symptoms wheeze", US_national_yearly!$D:$AM, 10, FALSE), 1)</f>
        <v>1.0837980582159328E-2</v>
      </c>
      <c r="V8" s="7">
        <f>$B8 * IFERROR(VLOOKUP("buildings|SO2|Asthma symptoms wheeze", US_national_yearly!$D:$AM, 30, FALSE) / VLOOKUP("buildings|SO2|Asthma symptoms wheeze", US_national_yearly!$D:$AM, 10, FALSE), 1)</f>
        <v>1.0837980582159328E-2</v>
      </c>
      <c r="W8" s="7">
        <f>$B8 * IFERROR(VLOOKUP("buildings|SO2|Asthma symptoms wheeze", US_national_yearly!$D:$AM, 31, FALSE) / VLOOKUP("buildings|SO2|Asthma symptoms wheeze", US_national_yearly!$D:$AM, 10, FALSE), 1)</f>
        <v>1.0837980582159328E-2</v>
      </c>
      <c r="X8" s="7">
        <f>$B8 * IFERROR(VLOOKUP("buildings|SO2|Asthma symptoms wheeze", US_national_yearly!$D:$AM, 32, FALSE) / VLOOKUP("buildings|SO2|Asthma symptoms wheeze", US_national_yearly!$D:$AM, 10, FALSE), 1)</f>
        <v>1.0837980582159328E-2</v>
      </c>
      <c r="Y8" s="7">
        <f>$B8 * IFERROR(VLOOKUP("buildings|SO2|Asthma symptoms wheeze", US_national_yearly!$D:$AM, 33, FALSE) / VLOOKUP("buildings|SO2|Asthma symptoms wheeze", US_national_yearly!$D:$AM, 10, FALSE), 1)</f>
        <v>1.0837980582159328E-2</v>
      </c>
      <c r="Z8" s="7">
        <f>$B8 * IFERROR(VLOOKUP("buildings|SO2|Asthma symptoms wheeze", US_national_yearly!$D:$AM, 34, FALSE) / VLOOKUP("buildings|SO2|Asthma symptoms wheeze", US_national_yearly!$D:$AM, 10, FALSE), 1)</f>
        <v>1.0837980582159328E-2</v>
      </c>
      <c r="AA8" s="7">
        <f>$B8 * IFERROR(VLOOKUP("buildings|SO2|Asthma symptoms wheeze", US_national_yearly!$D:$AM, 35, FALSE) / VLOOKUP("buildings|SO2|Asthma symptoms wheeze", US_national_yearly!$D:$AM, 10, FALSE), 1)</f>
        <v>1.0837980582159328E-2</v>
      </c>
      <c r="AB8" s="7">
        <f>$B8 * IFERROR(VLOOKUP("buildings|SO2|Asthma symptoms wheeze", US_national_yearly!$D:$AM, 36, FALSE) / VLOOKUP("buildings|SO2|Asthma symptoms wheeze", US_national_yearly!$D:$AM, 10, FALSE), 1)</f>
        <v>1.0837980582159328E-2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5.8143145263581222E-5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5.8486560949513425E-5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5.8829976635445627E-5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5.9173392321377829E-5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5.9516808007310017E-5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5.9891087839407588E-5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6.0265367671505159E-5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6.0633700316917806E-5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6.1002032962330466E-5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6.1370365607743113E-5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6.1738698253155759E-5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6.2107030898568419E-5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6.2375974703782175E-5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6.2644918508995918E-5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6.2913862314209674E-5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6.3182806119423416E-5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6.3451749924637159E-5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6.3708190999848039E-5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6.3964632075058932E-5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6.4221073150269812E-5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6.4477514225480691E-5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6.4733955300691584E-5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6.4977641231142347E-5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6.5221327161593136E-5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6.5465013092043899E-5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6.5708699022494675E-5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6.5952384952945464E-5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3.9801925228682614E-4</v>
      </c>
      <c r="C13" s="7">
        <f>$B13 * IFERROR(VLOOKUP("buildings|SO2|Non-fatal heart attacks", US_national_yearly!$D:$AM, 11, FALSE) / VLOOKUP("buildings|SO2|Non-fatal heart attacks", US_national_yearly!$D:$AM, 10, FALSE), 1)</f>
        <v>4.0970742950069671E-4</v>
      </c>
      <c r="D13" s="7">
        <f>$B13 * IFERROR(VLOOKUP("buildings|SO2|Non-fatal heart attacks", US_national_yearly!$D:$AM, 12, FALSE) / VLOOKUP("buildings|SO2|Non-fatal heart attacks", US_national_yearly!$D:$AM, 10, FALSE), 1)</f>
        <v>4.2139560671456718E-4</v>
      </c>
      <c r="E13" s="7">
        <f>$B13 * IFERROR(VLOOKUP("buildings|SO2|Non-fatal heart attacks", US_national_yearly!$D:$AM, 13, FALSE) / VLOOKUP("buildings|SO2|Non-fatal heart attacks", US_national_yearly!$D:$AM, 10, FALSE), 1)</f>
        <v>4.3308378392843769E-4</v>
      </c>
      <c r="F13" s="7">
        <f>$B13 * IFERROR(VLOOKUP("buildings|SO2|Non-fatal heart attacks", US_national_yearly!$D:$AM, 14, FALSE) / VLOOKUP("buildings|SO2|Non-fatal heart attacks", US_national_yearly!$D:$AM, 10, FALSE), 1)</f>
        <v>4.4477196114230827E-4</v>
      </c>
      <c r="G13" s="7">
        <f>$B13 * IFERROR(VLOOKUP("buildings|SO2|Non-fatal heart attacks", US_national_yearly!$D:$AM, 15, FALSE) / VLOOKUP("buildings|SO2|Non-fatal heart attacks", US_national_yearly!$D:$AM, 10, FALSE), 1)</f>
        <v>4.5579579732762357E-4</v>
      </c>
      <c r="H13" s="7">
        <f>$B13 * IFERROR(VLOOKUP("buildings|SO2|Non-fatal heart attacks", US_national_yearly!$D:$AM, 16, FALSE) / VLOOKUP("buildings|SO2|Non-fatal heart attacks", US_national_yearly!$D:$AM, 10, FALSE), 1)</f>
        <v>4.6681963351293898E-4</v>
      </c>
      <c r="I13" s="7">
        <f>$B13 * IFERROR(VLOOKUP("buildings|SO2|Non-fatal heart attacks", US_national_yearly!$D:$AM, 17, FALSE) / VLOOKUP("buildings|SO2|Non-fatal heart attacks", US_national_yearly!$D:$AM, 10, FALSE), 1)</f>
        <v>4.7569309094069954E-4</v>
      </c>
      <c r="J13" s="7">
        <f>$B13 * IFERROR(VLOOKUP("buildings|SO2|Non-fatal heart attacks", US_national_yearly!$D:$AM, 18, FALSE) / VLOOKUP("buildings|SO2|Non-fatal heart attacks", US_national_yearly!$D:$AM, 10, FALSE), 1)</f>
        <v>4.8456654836846015E-4</v>
      </c>
      <c r="K13" s="7">
        <f>$B13 * IFERROR(VLOOKUP("buildings|SO2|Non-fatal heart attacks", US_national_yearly!$D:$AM, 19, FALSE) / VLOOKUP("buildings|SO2|Non-fatal heart attacks", US_national_yearly!$D:$AM, 10, FALSE), 1)</f>
        <v>4.9344000579622075E-4</v>
      </c>
      <c r="L13" s="7">
        <f>$B13 * IFERROR(VLOOKUP("buildings|SO2|Non-fatal heart attacks", US_national_yearly!$D:$AM, 20, FALSE) / VLOOKUP("buildings|SO2|Non-fatal heart attacks", US_national_yearly!$D:$AM, 10, FALSE), 1)</f>
        <v>5.0231346322398142E-4</v>
      </c>
      <c r="M13" s="7">
        <f>$B13 * IFERROR(VLOOKUP("buildings|SO2|Non-fatal heart attacks", US_national_yearly!$D:$AM, 21, FALSE) / VLOOKUP("buildings|SO2|Non-fatal heart attacks", US_national_yearly!$D:$AM, 10, FALSE), 1)</f>
        <v>5.1118692065174208E-4</v>
      </c>
      <c r="N13" s="7">
        <f>$B13 * IFERROR(VLOOKUP("buildings|SO2|Non-fatal heart attacks", US_national_yearly!$D:$AM, 22, FALSE) / VLOOKUP("buildings|SO2|Non-fatal heart attacks", US_national_yearly!$D:$AM, 10, FALSE), 1)</f>
        <v>5.1694620701244311E-4</v>
      </c>
      <c r="O13" s="7">
        <f>$B13 * IFERROR(VLOOKUP("buildings|SO2|Non-fatal heart attacks", US_national_yearly!$D:$AM, 23, FALSE) / VLOOKUP("buildings|SO2|Non-fatal heart attacks", US_national_yearly!$D:$AM, 10, FALSE), 1)</f>
        <v>5.2270549337314425E-4</v>
      </c>
      <c r="P13" s="7">
        <f>$B13 * IFERROR(VLOOKUP("buildings|SO2|Non-fatal heart attacks", US_national_yearly!$D:$AM, 24, FALSE) / VLOOKUP("buildings|SO2|Non-fatal heart attacks", US_national_yearly!$D:$AM, 10, FALSE), 1)</f>
        <v>5.2846477973384539E-4</v>
      </c>
      <c r="Q13" s="7">
        <f>$B13 * IFERROR(VLOOKUP("buildings|SO2|Non-fatal heart attacks", US_national_yearly!$D:$AM, 25, FALSE) / VLOOKUP("buildings|SO2|Non-fatal heart attacks", US_national_yearly!$D:$AM, 10, FALSE), 1)</f>
        <v>5.3422406609454642E-4</v>
      </c>
      <c r="R13" s="7">
        <f>$B13 * IFERROR(VLOOKUP("buildings|SO2|Non-fatal heart attacks", US_national_yearly!$D:$AM, 26, FALSE) / VLOOKUP("buildings|SO2|Non-fatal heart attacks", US_national_yearly!$D:$AM, 10, FALSE), 1)</f>
        <v>5.3998335245524756E-4</v>
      </c>
      <c r="S13" s="7">
        <f>$B13 * IFERROR(VLOOKUP("buildings|SO2|Non-fatal heart attacks", US_national_yearly!$D:$AM, 27, FALSE) / VLOOKUP("buildings|SO2|Non-fatal heart attacks", US_national_yearly!$D:$AM, 10, FALSE), 1)</f>
        <v>5.4299084236268376E-4</v>
      </c>
      <c r="T13" s="7">
        <f>$B13 * IFERROR(VLOOKUP("buildings|SO2|Non-fatal heart attacks", US_national_yearly!$D:$AM, 28, FALSE) / VLOOKUP("buildings|SO2|Non-fatal heart attacks", US_national_yearly!$D:$AM, 10, FALSE), 1)</f>
        <v>5.4599833227012007E-4</v>
      </c>
      <c r="U13" s="7">
        <f>$B13 * IFERROR(VLOOKUP("buildings|SO2|Non-fatal heart attacks", US_national_yearly!$D:$AM, 29, FALSE) / VLOOKUP("buildings|SO2|Non-fatal heart attacks", US_national_yearly!$D:$AM, 10, FALSE), 1)</f>
        <v>5.4900582217755605E-4</v>
      </c>
      <c r="V13" s="7">
        <f>$B13 * IFERROR(VLOOKUP("buildings|SO2|Non-fatal heart attacks", US_national_yearly!$D:$AM, 30, FALSE) / VLOOKUP("buildings|SO2|Non-fatal heart attacks", US_national_yearly!$D:$AM, 10, FALSE), 1)</f>
        <v>5.5201331208499236E-4</v>
      </c>
      <c r="W13" s="7">
        <f>$B13 * IFERROR(VLOOKUP("buildings|SO2|Non-fatal heart attacks", US_national_yearly!$D:$AM, 31, FALSE) / VLOOKUP("buildings|SO2|Non-fatal heart attacks", US_national_yearly!$D:$AM, 10, FALSE), 1)</f>
        <v>5.5502080199242845E-4</v>
      </c>
      <c r="X13" s="7">
        <f>$B13 * IFERROR(VLOOKUP("buildings|SO2|Non-fatal heart attacks", US_national_yearly!$D:$AM, 32, FALSE) / VLOOKUP("buildings|SO2|Non-fatal heart attacks", US_national_yearly!$D:$AM, 10, FALSE), 1)</f>
        <v>5.5729227922407401E-4</v>
      </c>
      <c r="Y13" s="7">
        <f>$B13 * IFERROR(VLOOKUP("buildings|SO2|Non-fatal heart attacks", US_national_yearly!$D:$AM, 33, FALSE) / VLOOKUP("buildings|SO2|Non-fatal heart attacks", US_national_yearly!$D:$AM, 10, FALSE), 1)</f>
        <v>5.5956375645571969E-4</v>
      </c>
      <c r="Z13" s="7">
        <f>$B13 * IFERROR(VLOOKUP("buildings|SO2|Non-fatal heart attacks", US_national_yearly!$D:$AM, 34, FALSE) / VLOOKUP("buildings|SO2|Non-fatal heart attacks", US_national_yearly!$D:$AM, 10, FALSE), 1)</f>
        <v>5.6183523368736504E-4</v>
      </c>
      <c r="AA13" s="7">
        <f>$B13 * IFERROR(VLOOKUP("buildings|SO2|Non-fatal heart attacks", US_national_yearly!$D:$AM, 35, FALSE) / VLOOKUP("buildings|SO2|Non-fatal heart attacks", US_national_yearly!$D:$AM, 10, FALSE), 1)</f>
        <v>5.6410671091901071E-4</v>
      </c>
      <c r="AB13" s="7">
        <f>$B13 * IFERROR(VLOOKUP("buildings|SO2|Non-fatal heart attacks", US_national_yearly!$D:$AM, 36, FALSE) / VLOOKUP("buildings|SO2|Non-fatal heart attacks", US_national_yearly!$D:$AM, 10, FALSE), 1)</f>
        <v>5.6637818815065616E-4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0.501656141304059</v>
      </c>
      <c r="C14" s="7">
        <f>$B14 * IFERROR(VLOOKUP("buildings|SO2|Minor restricted activity days", US_national_yearly!$D:$AM, 11, FALSE) / VLOOKUP("buildings|SO2|Minor restricted activity days", US_national_yearly!$D:$AM, 10, FALSE), 1)</f>
        <v>0.50292605739938612</v>
      </c>
      <c r="D14" s="7">
        <f>$B14 * IFERROR(VLOOKUP("buildings|SO2|Minor restricted activity days", US_national_yearly!$D:$AM, 12, FALSE) / VLOOKUP("buildings|SO2|Minor restricted activity days", US_national_yearly!$D:$AM, 10, FALSE), 1)</f>
        <v>0.50419597349471323</v>
      </c>
      <c r="E14" s="7">
        <f>$B14 * IFERROR(VLOOKUP("buildings|SO2|Minor restricted activity days", US_national_yearly!$D:$AM, 13, FALSE) / VLOOKUP("buildings|SO2|Minor restricted activity days", US_national_yearly!$D:$AM, 10, FALSE), 1)</f>
        <v>0.50546588959004046</v>
      </c>
      <c r="F14" s="7">
        <f>$B14 * IFERROR(VLOOKUP("buildings|SO2|Minor restricted activity days", US_national_yearly!$D:$AM, 14, FALSE) / VLOOKUP("buildings|SO2|Minor restricted activity days", US_national_yearly!$D:$AM, 10, FALSE), 1)</f>
        <v>0.50673580568536758</v>
      </c>
      <c r="G14" s="7">
        <f>$B14 * IFERROR(VLOOKUP("buildings|SO2|Minor restricted activity days", US_national_yearly!$D:$AM, 15, FALSE) / VLOOKUP("buildings|SO2|Minor restricted activity days", US_national_yearly!$D:$AM, 10, FALSE), 1)</f>
        <v>0.50860308551655553</v>
      </c>
      <c r="H14" s="7">
        <f>$B14 * IFERROR(VLOOKUP("buildings|SO2|Minor restricted activity days", US_national_yearly!$D:$AM, 16, FALSE) / VLOOKUP("buildings|SO2|Minor restricted activity days", US_national_yearly!$D:$AM, 10, FALSE), 1)</f>
        <v>0.51047036534774348</v>
      </c>
      <c r="I14" s="7">
        <f>$B14 * IFERROR(VLOOKUP("buildings|SO2|Minor restricted activity days", US_national_yearly!$D:$AM, 17, FALSE) / VLOOKUP("buildings|SO2|Minor restricted activity days", US_national_yearly!$D:$AM, 10, FALSE), 1)</f>
        <v>0.51365053081503109</v>
      </c>
      <c r="J14" s="7">
        <f>$B14 * IFERROR(VLOOKUP("buildings|SO2|Minor restricted activity days", US_national_yearly!$D:$AM, 18, FALSE) / VLOOKUP("buildings|SO2|Minor restricted activity days", US_national_yearly!$D:$AM, 10, FALSE), 1)</f>
        <v>0.51683069628231881</v>
      </c>
      <c r="K14" s="7">
        <f>$B14 * IFERROR(VLOOKUP("buildings|SO2|Minor restricted activity days", US_national_yearly!$D:$AM, 19, FALSE) / VLOOKUP("buildings|SO2|Minor restricted activity days", US_national_yearly!$D:$AM, 10, FALSE), 1)</f>
        <v>0.52001086174960642</v>
      </c>
      <c r="L14" s="7">
        <f>$B14 * IFERROR(VLOOKUP("buildings|SO2|Minor restricted activity days", US_national_yearly!$D:$AM, 20, FALSE) / VLOOKUP("buildings|SO2|Minor restricted activity days", US_national_yearly!$D:$AM, 10, FALSE), 1)</f>
        <v>0.52319102721689403</v>
      </c>
      <c r="M14" s="7">
        <f>$B14 * IFERROR(VLOOKUP("buildings|SO2|Minor restricted activity days", US_national_yearly!$D:$AM, 21, FALSE) / VLOOKUP("buildings|SO2|Minor restricted activity days", US_national_yearly!$D:$AM, 10, FALSE), 1)</f>
        <v>0.52637119268418164</v>
      </c>
      <c r="N14" s="7">
        <f>$B14 * IFERROR(VLOOKUP("buildings|SO2|Minor restricted activity days", US_national_yearly!$D:$AM, 22, FALSE) / VLOOKUP("buildings|SO2|Minor restricted activity days", US_national_yearly!$D:$AM, 10, FALSE), 1)</f>
        <v>0.5307199018455846</v>
      </c>
      <c r="O14" s="7">
        <f>$B14 * IFERROR(VLOOKUP("buildings|SO2|Minor restricted activity days", US_national_yearly!$D:$AM, 23, FALSE) / VLOOKUP("buildings|SO2|Minor restricted activity days", US_national_yearly!$D:$AM, 10, FALSE), 1)</f>
        <v>0.53506861100698755</v>
      </c>
      <c r="P14" s="7">
        <f>$B14 * IFERROR(VLOOKUP("buildings|SO2|Minor restricted activity days", US_national_yearly!$D:$AM, 24, FALSE) / VLOOKUP("buildings|SO2|Minor restricted activity days", US_national_yearly!$D:$AM, 10, FALSE), 1)</f>
        <v>0.53941732016839039</v>
      </c>
      <c r="Q14" s="7">
        <f>$B14 * IFERROR(VLOOKUP("buildings|SO2|Minor restricted activity days", US_national_yearly!$D:$AM, 25, FALSE) / VLOOKUP("buildings|SO2|Minor restricted activity days", US_national_yearly!$D:$AM, 10, FALSE), 1)</f>
        <v>0.54376602932979345</v>
      </c>
      <c r="R14" s="7">
        <f>$B14 * IFERROR(VLOOKUP("buildings|SO2|Minor restricted activity days", US_national_yearly!$D:$AM, 26, FALSE) / VLOOKUP("buildings|SO2|Minor restricted activity days", US_national_yearly!$D:$AM, 10, FALSE), 1)</f>
        <v>0.54811473849119641</v>
      </c>
      <c r="S14" s="7">
        <f>$B14 * IFERROR(VLOOKUP("buildings|SO2|Minor restricted activity days", US_national_yearly!$D:$AM, 27, FALSE) / VLOOKUP("buildings|SO2|Minor restricted activity days", US_national_yearly!$D:$AM, 10, FALSE), 1)</f>
        <v>0.55254796515550386</v>
      </c>
      <c r="T14" s="7">
        <f>$B14 * IFERROR(VLOOKUP("buildings|SO2|Minor restricted activity days", US_national_yearly!$D:$AM, 28, FALSE) / VLOOKUP("buildings|SO2|Minor restricted activity days", US_national_yearly!$D:$AM, 10, FALSE), 1)</f>
        <v>0.55698119181981143</v>
      </c>
      <c r="U14" s="7">
        <f>$B14 * IFERROR(VLOOKUP("buildings|SO2|Minor restricted activity days", US_national_yearly!$D:$AM, 29, FALSE) / VLOOKUP("buildings|SO2|Minor restricted activity days", US_national_yearly!$D:$AM, 10, FALSE), 1)</f>
        <v>0.56141441848411888</v>
      </c>
      <c r="V14" s="7">
        <f>$B14 * IFERROR(VLOOKUP("buildings|SO2|Minor restricted activity days", US_national_yearly!$D:$AM, 30, FALSE) / VLOOKUP("buildings|SO2|Minor restricted activity days", US_national_yearly!$D:$AM, 10, FALSE), 1)</f>
        <v>0.56584764514842645</v>
      </c>
      <c r="W14" s="7">
        <f>$B14 * IFERROR(VLOOKUP("buildings|SO2|Minor restricted activity days", US_national_yearly!$D:$AM, 31, FALSE) / VLOOKUP("buildings|SO2|Minor restricted activity days", US_national_yearly!$D:$AM, 10, FALSE), 1)</f>
        <v>0.57028087181273412</v>
      </c>
      <c r="X14" s="7">
        <f>$B14 * IFERROR(VLOOKUP("buildings|SO2|Minor restricted activity days", US_national_yearly!$D:$AM, 32, FALSE) / VLOOKUP("buildings|SO2|Minor restricted activity days", US_national_yearly!$D:$AM, 10, FALSE), 1)</f>
        <v>0.57417963810884642</v>
      </c>
      <c r="Y14" s="7">
        <f>$B14 * IFERROR(VLOOKUP("buildings|SO2|Minor restricted activity days", US_national_yearly!$D:$AM, 33, FALSE) / VLOOKUP("buildings|SO2|Minor restricted activity days", US_national_yearly!$D:$AM, 10, FALSE), 1)</f>
        <v>0.57807840440495872</v>
      </c>
      <c r="Z14" s="7">
        <f>$B14 * IFERROR(VLOOKUP("buildings|SO2|Minor restricted activity days", US_national_yearly!$D:$AM, 34, FALSE) / VLOOKUP("buildings|SO2|Minor restricted activity days", US_national_yearly!$D:$AM, 10, FALSE), 1)</f>
        <v>0.58197717070107102</v>
      </c>
      <c r="AA14" s="7">
        <f>$B14 * IFERROR(VLOOKUP("buildings|SO2|Minor restricted activity days", US_national_yearly!$D:$AM, 35, FALSE) / VLOOKUP("buildings|SO2|Minor restricted activity days", US_national_yearly!$D:$AM, 10, FALSE), 1)</f>
        <v>0.58587593699718343</v>
      </c>
      <c r="AB14" s="7">
        <f>$B14 * IFERROR(VLOOKUP("buildings|SO2|Minor restricted activity days", US_national_yearly!$D:$AM, 36, FALSE) / VLOOKUP("buildings|SO2|Minor restricted activity days", US_national_yearly!$D:$AM, 10, FALSE), 1)</f>
        <v>0.58977470329329573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8.5944887934029129E-2</v>
      </c>
      <c r="C15" s="7">
        <f>$B15 * IFERROR(VLOOKUP("buildings|SO2|Work loss days", US_national_yearly!$D:$AM, 11, FALSE) / VLOOKUP("buildings|SO2|Work loss days", US_national_yearly!$D:$AM, 10, FALSE), 1)</f>
        <v>8.6224121475286394E-2</v>
      </c>
      <c r="D15" s="7">
        <f>$B15 * IFERROR(VLOOKUP("buildings|SO2|Work loss days", US_national_yearly!$D:$AM, 12, FALSE) / VLOOKUP("buildings|SO2|Work loss days", US_national_yearly!$D:$AM, 10, FALSE), 1)</f>
        <v>8.6503355016543659E-2</v>
      </c>
      <c r="E15" s="7">
        <f>$B15 * IFERROR(VLOOKUP("buildings|SO2|Work loss days", US_national_yearly!$D:$AM, 13, FALSE) / VLOOKUP("buildings|SO2|Work loss days", US_national_yearly!$D:$AM, 10, FALSE), 1)</f>
        <v>8.6782588557800924E-2</v>
      </c>
      <c r="F15" s="7">
        <f>$B15 * IFERROR(VLOOKUP("buildings|SO2|Work loss days", US_national_yearly!$D:$AM, 14, FALSE) / VLOOKUP("buildings|SO2|Work loss days", US_national_yearly!$D:$AM, 10, FALSE), 1)</f>
        <v>8.7061822099058161E-2</v>
      </c>
      <c r="G15" s="7">
        <f>$B15 * IFERROR(VLOOKUP("buildings|SO2|Work loss days", US_national_yearly!$D:$AM, 15, FALSE) / VLOOKUP("buildings|SO2|Work loss days", US_national_yearly!$D:$AM, 10, FALSE), 1)</f>
        <v>8.7426516556339262E-2</v>
      </c>
      <c r="H15" s="7">
        <f>$B15 * IFERROR(VLOOKUP("buildings|SO2|Work loss days", US_national_yearly!$D:$AM, 16, FALSE) / VLOOKUP("buildings|SO2|Work loss days", US_national_yearly!$D:$AM, 10, FALSE), 1)</f>
        <v>8.7791211013620363E-2</v>
      </c>
      <c r="I15" s="7">
        <f>$B15 * IFERROR(VLOOKUP("buildings|SO2|Work loss days", US_national_yearly!$D:$AM, 17, FALSE) / VLOOKUP("buildings|SO2|Work loss days", US_national_yearly!$D:$AM, 10, FALSE), 1)</f>
        <v>8.8324414722904129E-2</v>
      </c>
      <c r="J15" s="7">
        <f>$B15 * IFERROR(VLOOKUP("buildings|SO2|Work loss days", US_national_yearly!$D:$AM, 18, FALSE) / VLOOKUP("buildings|SO2|Work loss days", US_national_yearly!$D:$AM, 10, FALSE), 1)</f>
        <v>8.8857618432187868E-2</v>
      </c>
      <c r="K15" s="7">
        <f>$B15 * IFERROR(VLOOKUP("buildings|SO2|Work loss days", US_national_yearly!$D:$AM, 19, FALSE) / VLOOKUP("buildings|SO2|Work loss days", US_national_yearly!$D:$AM, 10, FALSE), 1)</f>
        <v>8.9390822141471621E-2</v>
      </c>
      <c r="L15" s="7">
        <f>$B15 * IFERROR(VLOOKUP("buildings|SO2|Work loss days", US_national_yearly!$D:$AM, 20, FALSE) / VLOOKUP("buildings|SO2|Work loss days", US_national_yearly!$D:$AM, 10, FALSE), 1)</f>
        <v>8.992402585075536E-2</v>
      </c>
      <c r="M15" s="7">
        <f>$B15 * IFERROR(VLOOKUP("buildings|SO2|Work loss days", US_national_yearly!$D:$AM, 21, FALSE) / VLOOKUP("buildings|SO2|Work loss days", US_national_yearly!$D:$AM, 10, FALSE), 1)</f>
        <v>9.0457229560039099E-2</v>
      </c>
      <c r="N15" s="7">
        <f>$B15 * IFERROR(VLOOKUP("buildings|SO2|Work loss days", US_national_yearly!$D:$AM, 22, FALSE) / VLOOKUP("buildings|SO2|Work loss days", US_national_yearly!$D:$AM, 10, FALSE), 1)</f>
        <v>9.1125858276918895E-2</v>
      </c>
      <c r="O15" s="7">
        <f>$B15 * IFERROR(VLOOKUP("buildings|SO2|Work loss days", US_national_yearly!$D:$AM, 23, FALSE) / VLOOKUP("buildings|SO2|Work loss days", US_national_yearly!$D:$AM, 10, FALSE), 1)</f>
        <v>9.1794486993798677E-2</v>
      </c>
      <c r="P15" s="7">
        <f>$B15 * IFERROR(VLOOKUP("buildings|SO2|Work loss days", US_national_yearly!$D:$AM, 24, FALSE) / VLOOKUP("buildings|SO2|Work loss days", US_national_yearly!$D:$AM, 10, FALSE), 1)</f>
        <v>9.2463115710678459E-2</v>
      </c>
      <c r="Q15" s="7">
        <f>$B15 * IFERROR(VLOOKUP("buildings|SO2|Work loss days", US_national_yearly!$D:$AM, 25, FALSE) / VLOOKUP("buildings|SO2|Work loss days", US_national_yearly!$D:$AM, 10, FALSE), 1)</f>
        <v>9.3131744427558255E-2</v>
      </c>
      <c r="R15" s="7">
        <f>$B15 * IFERROR(VLOOKUP("buildings|SO2|Work loss days", US_national_yearly!$D:$AM, 26, FALSE) / VLOOKUP("buildings|SO2|Work loss days", US_national_yearly!$D:$AM, 10, FALSE), 1)</f>
        <v>9.3800373144438023E-2</v>
      </c>
      <c r="S15" s="7">
        <f>$B15 * IFERROR(VLOOKUP("buildings|SO2|Work loss days", US_national_yearly!$D:$AM, 27, FALSE) / VLOOKUP("buildings|SO2|Work loss days", US_national_yearly!$D:$AM, 10, FALSE), 1)</f>
        <v>9.4547289989407687E-2</v>
      </c>
      <c r="T15" s="7">
        <f>$B15 * IFERROR(VLOOKUP("buildings|SO2|Work loss days", US_national_yearly!$D:$AM, 28, FALSE) / VLOOKUP("buildings|SO2|Work loss days", US_national_yearly!$D:$AM, 10, FALSE), 1)</f>
        <v>9.5294206834377351E-2</v>
      </c>
      <c r="U15" s="7">
        <f>$B15 * IFERROR(VLOOKUP("buildings|SO2|Work loss days", US_national_yearly!$D:$AM, 29, FALSE) / VLOOKUP("buildings|SO2|Work loss days", US_national_yearly!$D:$AM, 10, FALSE), 1)</f>
        <v>9.6041123679347015E-2</v>
      </c>
      <c r="V15" s="7">
        <f>$B15 * IFERROR(VLOOKUP("buildings|SO2|Work loss days", US_national_yearly!$D:$AM, 30, FALSE) / VLOOKUP("buildings|SO2|Work loss days", US_national_yearly!$D:$AM, 10, FALSE), 1)</f>
        <v>9.6788040524316665E-2</v>
      </c>
      <c r="W15" s="7">
        <f>$B15 * IFERROR(VLOOKUP("buildings|SO2|Work loss days", US_national_yearly!$D:$AM, 31, FALSE) / VLOOKUP("buildings|SO2|Work loss days", US_national_yearly!$D:$AM, 10, FALSE), 1)</f>
        <v>9.7534957369286329E-2</v>
      </c>
      <c r="X15" s="7">
        <f>$B15 * IFERROR(VLOOKUP("buildings|SO2|Work loss days", US_national_yearly!$D:$AM, 32, FALSE) / VLOOKUP("buildings|SO2|Work loss days", US_national_yearly!$D:$AM, 10, FALSE), 1)</f>
        <v>9.8205600654030514E-2</v>
      </c>
      <c r="Y15" s="7">
        <f>$B15 * IFERROR(VLOOKUP("buildings|SO2|Work loss days", US_national_yearly!$D:$AM, 33, FALSE) / VLOOKUP("buildings|SO2|Work loss days", US_national_yearly!$D:$AM, 10, FALSE), 1)</f>
        <v>9.8876243938774699E-2</v>
      </c>
      <c r="Z15" s="7">
        <f>$B15 * IFERROR(VLOOKUP("buildings|SO2|Work loss days", US_national_yearly!$D:$AM, 34, FALSE) / VLOOKUP("buildings|SO2|Work loss days", US_national_yearly!$D:$AM, 10, FALSE), 1)</f>
        <v>9.9546887223518871E-2</v>
      </c>
      <c r="AA15" s="7">
        <f>$B15 * IFERROR(VLOOKUP("buildings|SO2|Work loss days", US_national_yearly!$D:$AM, 35, FALSE) / VLOOKUP("buildings|SO2|Work loss days", US_national_yearly!$D:$AM, 10, FALSE), 1)</f>
        <v>0.10021753050826304</v>
      </c>
      <c r="AB15" s="7">
        <f>$B15 * IFERROR(VLOOKUP("buildings|SO2|Work loss days", US_national_yearly!$D:$AM, 36, FALSE) / VLOOKUP("buildings|SO2|Work loss days", US_national_yearly!$D:$AM, 10, FALSE), 1)</f>
        <v>0.10088817379300721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7.5855797632712427E-5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7.8150386849264484E-5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8.0444976065816541E-5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8.2739565282368625E-5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8.5034154498920682E-5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8.7232233525450626E-5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8.943031255198057E-5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9.1314061849743751E-5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9.3197811147506906E-5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9.5081560445270087E-5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9.6965309743033255E-5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9.884905904079641E-5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1.0011395894181332E-4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1.0137885884283023E-4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1.0264375874384716E-4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1.0390865864486405E-4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1.0517355854588096E-4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1.0583874268316913E-4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1.0650392682045729E-4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1.0716911095774544E-4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1.078342950950336E-4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1.0849947923232173E-4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1.0894615187587315E-4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1.0939282451942455E-4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1.0983949716297595E-4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1.1028616980652737E-4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1.1073284245007876E-4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1.8045852091031878E-2</v>
      </c>
      <c r="C2" s="7">
        <f>$B2 * IFERROR(VLOOKUP("industry|PM25|Premature mortality", US_national_yearly!$D:$AM, 11, FALSE) / VLOOKUP("industry|PM25|Premature mortality", US_national_yearly!$D:$AM, 10, FALSE), 1)</f>
        <v>1.8270581921505238E-2</v>
      </c>
      <c r="D2" s="7">
        <f>$B2 * IFERROR(VLOOKUP("industry|PM25|Premature mortality", US_national_yearly!$D:$AM, 12, FALSE) / VLOOKUP("industry|PM25|Premature mortality", US_national_yearly!$D:$AM, 10, FALSE), 1)</f>
        <v>1.8495311751978594E-2</v>
      </c>
      <c r="E2" s="7">
        <f>$B2 * IFERROR(VLOOKUP("industry|PM25|Premature mortality", US_national_yearly!$D:$AM, 13, FALSE) / VLOOKUP("industry|PM25|Premature mortality", US_national_yearly!$D:$AM, 10, FALSE), 1)</f>
        <v>1.8720041582451958E-2</v>
      </c>
      <c r="F2" s="7">
        <f>$B2 * IFERROR(VLOOKUP("industry|PM25|Premature mortality", US_national_yearly!$D:$AM, 14, FALSE) / VLOOKUP("industry|PM25|Premature mortality", US_national_yearly!$D:$AM, 10, FALSE), 1)</f>
        <v>1.8944771412925315E-2</v>
      </c>
      <c r="G2" s="7">
        <f>$B2 * IFERROR(VLOOKUP("industry|PM25|Premature mortality", US_national_yearly!$D:$AM, 15, FALSE) / VLOOKUP("industry|PM25|Premature mortality", US_national_yearly!$D:$AM, 10, FALSE), 1)</f>
        <v>1.9381979807507051E-2</v>
      </c>
      <c r="H2" s="7">
        <f>$B2 * IFERROR(VLOOKUP("industry|PM25|Premature mortality", US_national_yearly!$D:$AM, 16, FALSE) / VLOOKUP("industry|PM25|Premature mortality", US_national_yearly!$D:$AM, 10, FALSE), 1)</f>
        <v>1.9819188202088788E-2</v>
      </c>
      <c r="I2" s="7">
        <f>$B2 * IFERROR(VLOOKUP("industry|PM25|Premature mortality", US_national_yearly!$D:$AM, 17, FALSE) / VLOOKUP("industry|PM25|Premature mortality", US_national_yearly!$D:$AM, 10, FALSE), 1)</f>
        <v>2.0107875451608793E-2</v>
      </c>
      <c r="J2" s="7">
        <f>$B2 * IFERROR(VLOOKUP("industry|PM25|Premature mortality", US_national_yearly!$D:$AM, 18, FALSE) / VLOOKUP("industry|PM25|Premature mortality", US_national_yearly!$D:$AM, 10, FALSE), 1)</f>
        <v>2.0396562701128797E-2</v>
      </c>
      <c r="K2" s="7">
        <f>$B2 * IFERROR(VLOOKUP("industry|PM25|Premature mortality", US_national_yearly!$D:$AM, 19, FALSE) / VLOOKUP("industry|PM25|Premature mortality", US_national_yearly!$D:$AM, 10, FALSE), 1)</f>
        <v>2.0685249950648802E-2</v>
      </c>
      <c r="L2" s="7">
        <f>$B2 * IFERROR(VLOOKUP("industry|PM25|Premature mortality", US_national_yearly!$D:$AM, 20, FALSE) / VLOOKUP("industry|PM25|Premature mortality", US_national_yearly!$D:$AM, 10, FALSE), 1)</f>
        <v>2.0973937200168803E-2</v>
      </c>
      <c r="M2" s="7">
        <f>$B2 * IFERROR(VLOOKUP("industry|PM25|Premature mortality", US_national_yearly!$D:$AM, 21, FALSE) / VLOOKUP("industry|PM25|Premature mortality", US_national_yearly!$D:$AM, 10, FALSE), 1)</f>
        <v>2.1262624449688811E-2</v>
      </c>
      <c r="N2" s="7">
        <f>$B2 * IFERROR(VLOOKUP("industry|PM25|Premature mortality", US_national_yearly!$D:$AM, 22, FALSE) / VLOOKUP("industry|PM25|Premature mortality", US_national_yearly!$D:$AM, 10, FALSE), 1)</f>
        <v>2.1487536498919834E-2</v>
      </c>
      <c r="O2" s="7">
        <f>$B2 * IFERROR(VLOOKUP("industry|PM25|Premature mortality", US_national_yearly!$D:$AM, 23, FALSE) / VLOOKUP("industry|PM25|Premature mortality", US_national_yearly!$D:$AM, 10, FALSE), 1)</f>
        <v>2.1712448548150857E-2</v>
      </c>
      <c r="P2" s="7">
        <f>$B2 * IFERROR(VLOOKUP("industry|PM25|Premature mortality", US_national_yearly!$D:$AM, 24, FALSE) / VLOOKUP("industry|PM25|Premature mortality", US_national_yearly!$D:$AM, 10, FALSE), 1)</f>
        <v>2.193736059738188E-2</v>
      </c>
      <c r="Q2" s="7">
        <f>$B2 * IFERROR(VLOOKUP("industry|PM25|Premature mortality", US_national_yearly!$D:$AM, 25, FALSE) / VLOOKUP("industry|PM25|Premature mortality", US_national_yearly!$D:$AM, 10, FALSE), 1)</f>
        <v>2.2162272646612902E-2</v>
      </c>
      <c r="R2" s="7">
        <f>$B2 * IFERROR(VLOOKUP("industry|PM25|Premature mortality", US_national_yearly!$D:$AM, 26, FALSE) / VLOOKUP("industry|PM25|Premature mortality", US_national_yearly!$D:$AM, 10, FALSE), 1)</f>
        <v>2.2387184695843925E-2</v>
      </c>
      <c r="S2" s="7">
        <f>$B2 * IFERROR(VLOOKUP("industry|PM25|Premature mortality", US_national_yearly!$D:$AM, 27, FALSE) / VLOOKUP("industry|PM25|Premature mortality", US_national_yearly!$D:$AM, 10, FALSE), 1)</f>
        <v>2.2508628860502984E-2</v>
      </c>
      <c r="T2" s="7">
        <f>$B2 * IFERROR(VLOOKUP("industry|PM25|Premature mortality", US_national_yearly!$D:$AM, 28, FALSE) / VLOOKUP("industry|PM25|Premature mortality", US_national_yearly!$D:$AM, 10, FALSE), 1)</f>
        <v>2.2630073025162043E-2</v>
      </c>
      <c r="U2" s="7">
        <f>$B2 * IFERROR(VLOOKUP("industry|PM25|Premature mortality", US_national_yearly!$D:$AM, 29, FALSE) / VLOOKUP("industry|PM25|Premature mortality", US_national_yearly!$D:$AM, 10, FALSE), 1)</f>
        <v>2.2751517189821113E-2</v>
      </c>
      <c r="V2" s="7">
        <f>$B2 * IFERROR(VLOOKUP("industry|PM25|Premature mortality", US_national_yearly!$D:$AM, 30, FALSE) / VLOOKUP("industry|PM25|Premature mortality", US_national_yearly!$D:$AM, 10, FALSE), 1)</f>
        <v>2.2872961354480175E-2</v>
      </c>
      <c r="W2" s="7">
        <f>$B2 * IFERROR(VLOOKUP("industry|PM25|Premature mortality", US_national_yearly!$D:$AM, 31, FALSE) / VLOOKUP("industry|PM25|Premature mortality", US_national_yearly!$D:$AM, 10, FALSE), 1)</f>
        <v>2.2994405519139234E-2</v>
      </c>
      <c r="X2" s="7">
        <f>$B2 * IFERROR(VLOOKUP("industry|PM25|Premature mortality", US_national_yearly!$D:$AM, 32, FALSE) / VLOOKUP("industry|PM25|Premature mortality", US_national_yearly!$D:$AM, 10, FALSE), 1)</f>
        <v>2.3019479482445294E-2</v>
      </c>
      <c r="Y2" s="7">
        <f>$B2 * IFERROR(VLOOKUP("industry|PM25|Premature mortality", US_national_yearly!$D:$AM, 33, FALSE) / VLOOKUP("industry|PM25|Premature mortality", US_national_yearly!$D:$AM, 10, FALSE), 1)</f>
        <v>2.3044553445751369E-2</v>
      </c>
      <c r="Z2" s="7">
        <f>$B2 * IFERROR(VLOOKUP("industry|PM25|Premature mortality", US_national_yearly!$D:$AM, 34, FALSE) / VLOOKUP("industry|PM25|Premature mortality", US_national_yearly!$D:$AM, 10, FALSE), 1)</f>
        <v>2.3069627409057429E-2</v>
      </c>
      <c r="AA2" s="7">
        <f>$B2 * IFERROR(VLOOKUP("industry|PM25|Premature mortality", US_national_yearly!$D:$AM, 35, FALSE) / VLOOKUP("industry|PM25|Premature mortality", US_national_yearly!$D:$AM, 10, FALSE), 1)</f>
        <v>2.30947013723635E-2</v>
      </c>
      <c r="AB2" s="7">
        <f>$B2 * IFERROR(VLOOKUP("industry|PM25|Premature mortality", US_national_yearly!$D:$AM, 36, FALSE) / VLOOKUP("industry|PM25|Premature mortality", US_national_yearly!$D:$AM, 10, FALSE), 1)</f>
        <v>2.3119775335669567E-2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8.184272800878724E-5</v>
      </c>
      <c r="C3" s="7">
        <f>$B3 * IFERROR(VLOOKUP("industry|PM25|Infant mortality", US_national_yearly!$D:$AM, 11, FALSE) / VLOOKUP("industry|PM25|Infant mortality", US_national_yearly!$D:$AM, 10, FALSE), 1)</f>
        <v>8.1130135746615924E-5</v>
      </c>
      <c r="D3" s="7">
        <f>$B3 * IFERROR(VLOOKUP("industry|PM25|Infant mortality", US_national_yearly!$D:$AM, 12, FALSE) / VLOOKUP("industry|PM25|Infant mortality", US_national_yearly!$D:$AM, 10, FALSE), 1)</f>
        <v>8.0417543484444609E-5</v>
      </c>
      <c r="E3" s="7">
        <f>$B3 * IFERROR(VLOOKUP("industry|PM25|Infant mortality", US_national_yearly!$D:$AM, 13, FALSE) / VLOOKUP("industry|PM25|Infant mortality", US_national_yearly!$D:$AM, 10, FALSE), 1)</f>
        <v>7.9704951222273279E-5</v>
      </c>
      <c r="F3" s="7">
        <f>$B3 * IFERROR(VLOOKUP("industry|PM25|Infant mortality", US_national_yearly!$D:$AM, 14, FALSE) / VLOOKUP("industry|PM25|Infant mortality", US_national_yearly!$D:$AM, 10, FALSE), 1)</f>
        <v>7.8992358960101964E-5</v>
      </c>
      <c r="G3" s="7">
        <f>$B3 * IFERROR(VLOOKUP("industry|PM25|Infant mortality", US_national_yearly!$D:$AM, 15, FALSE) / VLOOKUP("industry|PM25|Infant mortality", US_national_yearly!$D:$AM, 10, FALSE), 1)</f>
        <v>5.2485288261190359E-5</v>
      </c>
      <c r="H3" s="7">
        <f>$B3 * IFERROR(VLOOKUP("industry|PM25|Infant mortality", US_national_yearly!$D:$AM, 16, FALSE) / VLOOKUP("industry|PM25|Infant mortality", US_national_yearly!$D:$AM, 10, FALSE), 1)</f>
        <v>2.5978217562278754E-5</v>
      </c>
      <c r="I3" s="7">
        <f>$B3 * IFERROR(VLOOKUP("industry|PM25|Infant mortality", US_national_yearly!$D:$AM, 17, FALSE) / VLOOKUP("industry|PM25|Infant mortality", US_national_yearly!$D:$AM, 10, FALSE), 1)</f>
        <v>2.5805306901738304E-5</v>
      </c>
      <c r="J3" s="7">
        <f>$B3 * IFERROR(VLOOKUP("industry|PM25|Infant mortality", US_national_yearly!$D:$AM, 18, FALSE) / VLOOKUP("industry|PM25|Infant mortality", US_national_yearly!$D:$AM, 10, FALSE), 1)</f>
        <v>2.5632396241197851E-5</v>
      </c>
      <c r="K3" s="7">
        <f>$B3 * IFERROR(VLOOKUP("industry|PM25|Infant mortality", US_national_yearly!$D:$AM, 19, FALSE) / VLOOKUP("industry|PM25|Infant mortality", US_national_yearly!$D:$AM, 10, FALSE), 1)</f>
        <v>2.5459485580657397E-5</v>
      </c>
      <c r="L3" s="7">
        <f>$B3 * IFERROR(VLOOKUP("industry|PM25|Infant mortality", US_national_yearly!$D:$AM, 20, FALSE) / VLOOKUP("industry|PM25|Infant mortality", US_national_yearly!$D:$AM, 10, FALSE), 1)</f>
        <v>2.528657492011694E-5</v>
      </c>
      <c r="M3" s="7">
        <f>$B3 * IFERROR(VLOOKUP("industry|PM25|Infant mortality", US_national_yearly!$D:$AM, 21, FALSE) / VLOOKUP("industry|PM25|Infant mortality", US_national_yearly!$D:$AM, 10, FALSE), 1)</f>
        <v>2.511366425957649E-5</v>
      </c>
      <c r="N3" s="7">
        <f>$B3 * IFERROR(VLOOKUP("industry|PM25|Infant mortality", US_national_yearly!$D:$AM, 22, FALSE) / VLOOKUP("industry|PM25|Infant mortality", US_national_yearly!$D:$AM, 10, FALSE), 1)</f>
        <v>2.5003330420261187E-5</v>
      </c>
      <c r="O3" s="7">
        <f>$B3 * IFERROR(VLOOKUP("industry|PM25|Infant mortality", US_national_yearly!$D:$AM, 23, FALSE) / VLOOKUP("industry|PM25|Infant mortality", US_national_yearly!$D:$AM, 10, FALSE), 1)</f>
        <v>2.4892996580945884E-5</v>
      </c>
      <c r="P3" s="7">
        <f>$B3 * IFERROR(VLOOKUP("industry|PM25|Infant mortality", US_national_yearly!$D:$AM, 24, FALSE) / VLOOKUP("industry|PM25|Infant mortality", US_national_yearly!$D:$AM, 10, FALSE), 1)</f>
        <v>2.4782662741630592E-5</v>
      </c>
      <c r="Q3" s="7">
        <f>$B3 * IFERROR(VLOOKUP("industry|PM25|Infant mortality", US_national_yearly!$D:$AM, 25, FALSE) / VLOOKUP("industry|PM25|Infant mortality", US_national_yearly!$D:$AM, 10, FALSE), 1)</f>
        <v>2.4672328902315289E-5</v>
      </c>
      <c r="R3" s="7">
        <f>$B3 * IFERROR(VLOOKUP("industry|PM25|Infant mortality", US_national_yearly!$D:$AM, 26, FALSE) / VLOOKUP("industry|PM25|Infant mortality", US_national_yearly!$D:$AM, 10, FALSE), 1)</f>
        <v>2.4561995062999989E-5</v>
      </c>
      <c r="S3" s="7">
        <f>$B3 * IFERROR(VLOOKUP("industry|PM25|Infant mortality", US_national_yearly!$D:$AM, 27, FALSE) / VLOOKUP("industry|PM25|Infant mortality", US_national_yearly!$D:$AM, 10, FALSE), 1)</f>
        <v>2.4426294402725302E-5</v>
      </c>
      <c r="T3" s="7">
        <f>$B3 * IFERROR(VLOOKUP("industry|PM25|Infant mortality", US_national_yearly!$D:$AM, 28, FALSE) / VLOOKUP("industry|PM25|Infant mortality", US_national_yearly!$D:$AM, 10, FALSE), 1)</f>
        <v>2.4290593742450618E-5</v>
      </c>
      <c r="U3" s="7">
        <f>$B3 * IFERROR(VLOOKUP("industry|PM25|Infant mortality", US_national_yearly!$D:$AM, 29, FALSE) / VLOOKUP("industry|PM25|Infant mortality", US_national_yearly!$D:$AM, 10, FALSE), 1)</f>
        <v>2.415489308217593E-5</v>
      </c>
      <c r="V3" s="7">
        <f>$B3 * IFERROR(VLOOKUP("industry|PM25|Infant mortality", US_national_yearly!$D:$AM, 30, FALSE) / VLOOKUP("industry|PM25|Infant mortality", US_national_yearly!$D:$AM, 10, FALSE), 1)</f>
        <v>2.401919242190125E-5</v>
      </c>
      <c r="W3" s="7">
        <f>$B3 * IFERROR(VLOOKUP("industry|PM25|Infant mortality", US_national_yearly!$D:$AM, 31, FALSE) / VLOOKUP("industry|PM25|Infant mortality", US_national_yearly!$D:$AM, 10, FALSE), 1)</f>
        <v>2.3883491761626566E-5</v>
      </c>
      <c r="X3" s="7">
        <f>$B3 * IFERROR(VLOOKUP("industry|PM25|Infant mortality", US_national_yearly!$D:$AM, 32, FALSE) / VLOOKUP("industry|PM25|Infant mortality", US_national_yearly!$D:$AM, 10, FALSE), 1)</f>
        <v>2.3738478602359284E-5</v>
      </c>
      <c r="Y3" s="7">
        <f>$B3 * IFERROR(VLOOKUP("industry|PM25|Infant mortality", US_national_yearly!$D:$AM, 33, FALSE) / VLOOKUP("industry|PM25|Infant mortality", US_national_yearly!$D:$AM, 10, FALSE), 1)</f>
        <v>2.3593465443091999E-5</v>
      </c>
      <c r="Z3" s="7">
        <f>$B3 * IFERROR(VLOOKUP("industry|PM25|Infant mortality", US_national_yearly!$D:$AM, 34, FALSE) / VLOOKUP("industry|PM25|Infant mortality", US_national_yearly!$D:$AM, 10, FALSE), 1)</f>
        <v>2.3448452283824718E-5</v>
      </c>
      <c r="AA3" s="7">
        <f>$B3 * IFERROR(VLOOKUP("industry|PM25|Infant mortality", US_national_yearly!$D:$AM, 35, FALSE) / VLOOKUP("industry|PM25|Infant mortality", US_national_yearly!$D:$AM, 10, FALSE), 1)</f>
        <v>2.3303439124557436E-5</v>
      </c>
      <c r="AB3" s="7">
        <f>$B3 * IFERROR(VLOOKUP("industry|PM25|Infant mortality", US_national_yearly!$D:$AM, 36, FALSE) / VLOOKUP("industry|PM25|Infant mortality", US_national_yearly!$D:$AM, 10, FALSE), 1)</f>
        <v>2.3158425965290151E-5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8.9654238190433555E-2</v>
      </c>
      <c r="C6" s="7">
        <f>$B6 * IFERROR(VLOOKUP("industry|PM25|Asthma symptoms cough", US_national_yearly!$D:$AM, 11, FALSE) / VLOOKUP("industry|PM25|Asthma symptoms cough", US_national_yearly!$D:$AM, 10, FALSE), 1)</f>
        <v>8.9654238190433555E-2</v>
      </c>
      <c r="D6" s="7">
        <f>$B6 * IFERROR(VLOOKUP("industry|PM25|Asthma symptoms cough", US_national_yearly!$D:$AM, 12, FALSE) / VLOOKUP("industry|PM25|Asthma symptoms cough", US_national_yearly!$D:$AM, 10, FALSE), 1)</f>
        <v>8.9654238190433555E-2</v>
      </c>
      <c r="E6" s="7">
        <f>$B6 * IFERROR(VLOOKUP("industry|PM25|Asthma symptoms cough", US_national_yearly!$D:$AM, 13, FALSE) / VLOOKUP("industry|PM25|Asthma symptoms cough", US_national_yearly!$D:$AM, 10, FALSE), 1)</f>
        <v>8.9654238190433555E-2</v>
      </c>
      <c r="F6" s="7">
        <f>$B6 * IFERROR(VLOOKUP("industry|PM25|Asthma symptoms cough", US_national_yearly!$D:$AM, 14, FALSE) / VLOOKUP("industry|PM25|Asthma symptoms cough", US_national_yearly!$D:$AM, 10, FALSE), 1)</f>
        <v>8.9654238190433555E-2</v>
      </c>
      <c r="G6" s="7">
        <f>$B6 * IFERROR(VLOOKUP("industry|PM25|Asthma symptoms cough", US_national_yearly!$D:$AM, 15, FALSE) / VLOOKUP("industry|PM25|Asthma symptoms cough", US_national_yearly!$D:$AM, 10, FALSE), 1)</f>
        <v>8.9654238190433555E-2</v>
      </c>
      <c r="H6" s="7">
        <f>$B6 * IFERROR(VLOOKUP("industry|PM25|Asthma symptoms cough", US_national_yearly!$D:$AM, 16, FALSE) / VLOOKUP("industry|PM25|Asthma symptoms cough", US_national_yearly!$D:$AM, 10, FALSE), 1)</f>
        <v>8.9654238190433555E-2</v>
      </c>
      <c r="I6" s="7">
        <f>$B6 * IFERROR(VLOOKUP("industry|PM25|Asthma symptoms cough", US_national_yearly!$D:$AM, 17, FALSE) / VLOOKUP("industry|PM25|Asthma symptoms cough", US_national_yearly!$D:$AM, 10, FALSE), 1)</f>
        <v>8.9654238190433555E-2</v>
      </c>
      <c r="J6" s="7">
        <f>$B6 * IFERROR(VLOOKUP("industry|PM25|Asthma symptoms cough", US_national_yearly!$D:$AM, 18, FALSE) / VLOOKUP("industry|PM25|Asthma symptoms cough", US_national_yearly!$D:$AM, 10, FALSE), 1)</f>
        <v>8.9654238190433555E-2</v>
      </c>
      <c r="K6" s="7">
        <f>$B6 * IFERROR(VLOOKUP("industry|PM25|Asthma symptoms cough", US_national_yearly!$D:$AM, 19, FALSE) / VLOOKUP("industry|PM25|Asthma symptoms cough", US_national_yearly!$D:$AM, 10, FALSE), 1)</f>
        <v>8.9654238190433555E-2</v>
      </c>
      <c r="L6" s="7">
        <f>$B6 * IFERROR(VLOOKUP("industry|PM25|Asthma symptoms cough", US_national_yearly!$D:$AM, 20, FALSE) / VLOOKUP("industry|PM25|Asthma symptoms cough", US_national_yearly!$D:$AM, 10, FALSE), 1)</f>
        <v>8.9654238190433555E-2</v>
      </c>
      <c r="M6" s="7">
        <f>$B6 * IFERROR(VLOOKUP("industry|PM25|Asthma symptoms cough", US_national_yearly!$D:$AM, 21, FALSE) / VLOOKUP("industry|PM25|Asthma symptoms cough", US_national_yearly!$D:$AM, 10, FALSE), 1)</f>
        <v>8.9654238190433555E-2</v>
      </c>
      <c r="N6" s="7">
        <f>$B6 * IFERROR(VLOOKUP("industry|PM25|Asthma symptoms cough", US_national_yearly!$D:$AM, 22, FALSE) / VLOOKUP("industry|PM25|Asthma symptoms cough", US_national_yearly!$D:$AM, 10, FALSE), 1)</f>
        <v>8.9654238190433555E-2</v>
      </c>
      <c r="O6" s="7">
        <f>$B6 * IFERROR(VLOOKUP("industry|PM25|Asthma symptoms cough", US_national_yearly!$D:$AM, 23, FALSE) / VLOOKUP("industry|PM25|Asthma symptoms cough", US_national_yearly!$D:$AM, 10, FALSE), 1)</f>
        <v>8.9654238190433555E-2</v>
      </c>
      <c r="P6" s="7">
        <f>$B6 * IFERROR(VLOOKUP("industry|PM25|Asthma symptoms cough", US_national_yearly!$D:$AM, 24, FALSE) / VLOOKUP("industry|PM25|Asthma symptoms cough", US_national_yearly!$D:$AM, 10, FALSE), 1)</f>
        <v>8.9654238190433555E-2</v>
      </c>
      <c r="Q6" s="7">
        <f>$B6 * IFERROR(VLOOKUP("industry|PM25|Asthma symptoms cough", US_national_yearly!$D:$AM, 25, FALSE) / VLOOKUP("industry|PM25|Asthma symptoms cough", US_national_yearly!$D:$AM, 10, FALSE), 1)</f>
        <v>8.9654238190433555E-2</v>
      </c>
      <c r="R6" s="7">
        <f>$B6 * IFERROR(VLOOKUP("industry|PM25|Asthma symptoms cough", US_national_yearly!$D:$AM, 26, FALSE) / VLOOKUP("industry|PM25|Asthma symptoms cough", US_national_yearly!$D:$AM, 10, FALSE), 1)</f>
        <v>8.9654238190433555E-2</v>
      </c>
      <c r="S6" s="7">
        <f>$B6 * IFERROR(VLOOKUP("industry|PM25|Asthma symptoms cough", US_national_yearly!$D:$AM, 27, FALSE) / VLOOKUP("industry|PM25|Asthma symptoms cough", US_national_yearly!$D:$AM, 10, FALSE), 1)</f>
        <v>8.9654238190433555E-2</v>
      </c>
      <c r="T6" s="7">
        <f>$B6 * IFERROR(VLOOKUP("industry|PM25|Asthma symptoms cough", US_national_yearly!$D:$AM, 28, FALSE) / VLOOKUP("industry|PM25|Asthma symptoms cough", US_national_yearly!$D:$AM, 10, FALSE), 1)</f>
        <v>8.9654238190433555E-2</v>
      </c>
      <c r="U6" s="7">
        <f>$B6 * IFERROR(VLOOKUP("industry|PM25|Asthma symptoms cough", US_national_yearly!$D:$AM, 29, FALSE) / VLOOKUP("industry|PM25|Asthma symptoms cough", US_national_yearly!$D:$AM, 10, FALSE), 1)</f>
        <v>8.9654238190433555E-2</v>
      </c>
      <c r="V6" s="7">
        <f>$B6 * IFERROR(VLOOKUP("industry|PM25|Asthma symptoms cough", US_national_yearly!$D:$AM, 30, FALSE) / VLOOKUP("industry|PM25|Asthma symptoms cough", US_national_yearly!$D:$AM, 10, FALSE), 1)</f>
        <v>8.9654238190433555E-2</v>
      </c>
      <c r="W6" s="7">
        <f>$B6 * IFERROR(VLOOKUP("industry|PM25|Asthma symptoms cough", US_national_yearly!$D:$AM, 31, FALSE) / VLOOKUP("industry|PM25|Asthma symptoms cough", US_national_yearly!$D:$AM, 10, FALSE), 1)</f>
        <v>8.9654238190433555E-2</v>
      </c>
      <c r="X6" s="7">
        <f>$B6 * IFERROR(VLOOKUP("industry|PM25|Asthma symptoms cough", US_national_yearly!$D:$AM, 32, FALSE) / VLOOKUP("industry|PM25|Asthma symptoms cough", US_national_yearly!$D:$AM, 10, FALSE), 1)</f>
        <v>8.9654238190433555E-2</v>
      </c>
      <c r="Y6" s="7">
        <f>$B6 * IFERROR(VLOOKUP("industry|PM25|Asthma symptoms cough", US_national_yearly!$D:$AM, 33, FALSE) / VLOOKUP("industry|PM25|Asthma symptoms cough", US_national_yearly!$D:$AM, 10, FALSE), 1)</f>
        <v>8.9654238190433555E-2</v>
      </c>
      <c r="Z6" s="7">
        <f>$B6 * IFERROR(VLOOKUP("industry|PM25|Asthma symptoms cough", US_national_yearly!$D:$AM, 34, FALSE) / VLOOKUP("industry|PM25|Asthma symptoms cough", US_national_yearly!$D:$AM, 10, FALSE), 1)</f>
        <v>8.9654238190433555E-2</v>
      </c>
      <c r="AA6" s="7">
        <f>$B6 * IFERROR(VLOOKUP("industry|PM25|Asthma symptoms cough", US_national_yearly!$D:$AM, 35, FALSE) / VLOOKUP("industry|PM25|Asthma symptoms cough", US_national_yearly!$D:$AM, 10, FALSE), 1)</f>
        <v>8.9654238190433555E-2</v>
      </c>
      <c r="AB6" s="7">
        <f>$B6 * IFERROR(VLOOKUP("industry|PM25|Asthma symptoms cough", US_national_yearly!$D:$AM, 36, FALSE) / VLOOKUP("industry|PM25|Asthma symptoms cough", US_national_yearly!$D:$AM, 10, FALSE), 1)</f>
        <v>8.9654238190433555E-2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0.12072482129918656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0.12072482129918656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0.12072482129918656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0.12072482129918656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0.12072482129918656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0.12072482129918656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0.12072482129918656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0.12072482129918656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0.12072482129918656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0.12072482129918656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0.12072482129918656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0.12072482129918656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0.12072482129918656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0.12072482129918656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0.12072482129918656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0.12072482129918656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0.12072482129918656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0.12072482129918656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0.12072482129918656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0.12072482129918656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0.12072482129918656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0.12072482129918656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0.12072482129918656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0.12072482129918656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0.12072482129918656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0.12072482129918656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0.12072482129918656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0.18447422370682864</v>
      </c>
      <c r="C8" s="7">
        <f>$B8 * IFERROR(VLOOKUP("industry|PM25|Asthma symptoms wheeze", US_national_yearly!$D:$AM, 11, FALSE) / VLOOKUP("industry|PM25|Asthma symptoms wheeze", US_national_yearly!$D:$AM, 10, FALSE), 1)</f>
        <v>0.18447422370682864</v>
      </c>
      <c r="D8" s="7">
        <f>$B8 * IFERROR(VLOOKUP("industry|PM25|Asthma symptoms wheeze", US_national_yearly!$D:$AM, 12, FALSE) / VLOOKUP("industry|PM25|Asthma symptoms wheeze", US_national_yearly!$D:$AM, 10, FALSE), 1)</f>
        <v>0.18447422370682864</v>
      </c>
      <c r="E8" s="7">
        <f>$B8 * IFERROR(VLOOKUP("industry|PM25|Asthma symptoms wheeze", US_national_yearly!$D:$AM, 13, FALSE) / VLOOKUP("industry|PM25|Asthma symptoms wheeze", US_national_yearly!$D:$AM, 10, FALSE), 1)</f>
        <v>0.18447422370682864</v>
      </c>
      <c r="F8" s="7">
        <f>$B8 * IFERROR(VLOOKUP("industry|PM25|Asthma symptoms wheeze", US_national_yearly!$D:$AM, 14, FALSE) / VLOOKUP("industry|PM25|Asthma symptoms wheeze", US_national_yearly!$D:$AM, 10, FALSE), 1)</f>
        <v>0.18447422370682864</v>
      </c>
      <c r="G8" s="7">
        <f>$B8 * IFERROR(VLOOKUP("industry|PM25|Asthma symptoms wheeze", US_national_yearly!$D:$AM, 15, FALSE) / VLOOKUP("industry|PM25|Asthma symptoms wheeze", US_national_yearly!$D:$AM, 10, FALSE), 1)</f>
        <v>0.18447422370682864</v>
      </c>
      <c r="H8" s="7">
        <f>$B8 * IFERROR(VLOOKUP("industry|PM25|Asthma symptoms wheeze", US_national_yearly!$D:$AM, 16, FALSE) / VLOOKUP("industry|PM25|Asthma symptoms wheeze", US_national_yearly!$D:$AM, 10, FALSE), 1)</f>
        <v>0.18447422370682864</v>
      </c>
      <c r="I8" s="7">
        <f>$B8 * IFERROR(VLOOKUP("industry|PM25|Asthma symptoms wheeze", US_national_yearly!$D:$AM, 17, FALSE) / VLOOKUP("industry|PM25|Asthma symptoms wheeze", US_national_yearly!$D:$AM, 10, FALSE), 1)</f>
        <v>0.18447422370682864</v>
      </c>
      <c r="J8" s="7">
        <f>$B8 * IFERROR(VLOOKUP("industry|PM25|Asthma symptoms wheeze", US_national_yearly!$D:$AM, 18, FALSE) / VLOOKUP("industry|PM25|Asthma symptoms wheeze", US_national_yearly!$D:$AM, 10, FALSE), 1)</f>
        <v>0.18447422370682864</v>
      </c>
      <c r="K8" s="7">
        <f>$B8 * IFERROR(VLOOKUP("industry|PM25|Asthma symptoms wheeze", US_national_yearly!$D:$AM, 19, FALSE) / VLOOKUP("industry|PM25|Asthma symptoms wheeze", US_national_yearly!$D:$AM, 10, FALSE), 1)</f>
        <v>0.18447422370682864</v>
      </c>
      <c r="L8" s="7">
        <f>$B8 * IFERROR(VLOOKUP("industry|PM25|Asthma symptoms wheeze", US_national_yearly!$D:$AM, 20, FALSE) / VLOOKUP("industry|PM25|Asthma symptoms wheeze", US_national_yearly!$D:$AM, 10, FALSE), 1)</f>
        <v>0.18447422370682864</v>
      </c>
      <c r="M8" s="7">
        <f>$B8 * IFERROR(VLOOKUP("industry|PM25|Asthma symptoms wheeze", US_national_yearly!$D:$AM, 21, FALSE) / VLOOKUP("industry|PM25|Asthma symptoms wheeze", US_national_yearly!$D:$AM, 10, FALSE), 1)</f>
        <v>0.18447422370682864</v>
      </c>
      <c r="N8" s="7">
        <f>$B8 * IFERROR(VLOOKUP("industry|PM25|Asthma symptoms wheeze", US_national_yearly!$D:$AM, 22, FALSE) / VLOOKUP("industry|PM25|Asthma symptoms wheeze", US_national_yearly!$D:$AM, 10, FALSE), 1)</f>
        <v>0.18447422370682864</v>
      </c>
      <c r="O8" s="7">
        <f>$B8 * IFERROR(VLOOKUP("industry|PM25|Asthma symptoms wheeze", US_national_yearly!$D:$AM, 23, FALSE) / VLOOKUP("industry|PM25|Asthma symptoms wheeze", US_national_yearly!$D:$AM, 10, FALSE), 1)</f>
        <v>0.18447422370682864</v>
      </c>
      <c r="P8" s="7">
        <f>$B8 * IFERROR(VLOOKUP("industry|PM25|Asthma symptoms wheeze", US_national_yearly!$D:$AM, 24, FALSE) / VLOOKUP("industry|PM25|Asthma symptoms wheeze", US_national_yearly!$D:$AM, 10, FALSE), 1)</f>
        <v>0.18447422370682864</v>
      </c>
      <c r="Q8" s="7">
        <f>$B8 * IFERROR(VLOOKUP("industry|PM25|Asthma symptoms wheeze", US_national_yearly!$D:$AM, 25, FALSE) / VLOOKUP("industry|PM25|Asthma symptoms wheeze", US_national_yearly!$D:$AM, 10, FALSE), 1)</f>
        <v>0.18447422370682864</v>
      </c>
      <c r="R8" s="7">
        <f>$B8 * IFERROR(VLOOKUP("industry|PM25|Asthma symptoms wheeze", US_national_yearly!$D:$AM, 26, FALSE) / VLOOKUP("industry|PM25|Asthma symptoms wheeze", US_national_yearly!$D:$AM, 10, FALSE), 1)</f>
        <v>0.18447422370682864</v>
      </c>
      <c r="S8" s="7">
        <f>$B8 * IFERROR(VLOOKUP("industry|PM25|Asthma symptoms wheeze", US_national_yearly!$D:$AM, 27, FALSE) / VLOOKUP("industry|PM25|Asthma symptoms wheeze", US_national_yearly!$D:$AM, 10, FALSE), 1)</f>
        <v>0.18447422370682864</v>
      </c>
      <c r="T8" s="7">
        <f>$B8 * IFERROR(VLOOKUP("industry|PM25|Asthma symptoms wheeze", US_national_yearly!$D:$AM, 28, FALSE) / VLOOKUP("industry|PM25|Asthma symptoms wheeze", US_national_yearly!$D:$AM, 10, FALSE), 1)</f>
        <v>0.18447422370682864</v>
      </c>
      <c r="U8" s="7">
        <f>$B8 * IFERROR(VLOOKUP("industry|PM25|Asthma symptoms wheeze", US_national_yearly!$D:$AM, 29, FALSE) / VLOOKUP("industry|PM25|Asthma symptoms wheeze", US_national_yearly!$D:$AM, 10, FALSE), 1)</f>
        <v>0.18447422370682864</v>
      </c>
      <c r="V8" s="7">
        <f>$B8 * IFERROR(VLOOKUP("industry|PM25|Asthma symptoms wheeze", US_national_yearly!$D:$AM, 30, FALSE) / VLOOKUP("industry|PM25|Asthma symptoms wheeze", US_national_yearly!$D:$AM, 10, FALSE), 1)</f>
        <v>0.18447422370682864</v>
      </c>
      <c r="W8" s="7">
        <f>$B8 * IFERROR(VLOOKUP("industry|PM25|Asthma symptoms wheeze", US_national_yearly!$D:$AM, 31, FALSE) / VLOOKUP("industry|PM25|Asthma symptoms wheeze", US_national_yearly!$D:$AM, 10, FALSE), 1)</f>
        <v>0.18447422370682864</v>
      </c>
      <c r="X8" s="7">
        <f>$B8 * IFERROR(VLOOKUP("industry|PM25|Asthma symptoms wheeze", US_national_yearly!$D:$AM, 32, FALSE) / VLOOKUP("industry|PM25|Asthma symptoms wheeze", US_national_yearly!$D:$AM, 10, FALSE), 1)</f>
        <v>0.18447422370682864</v>
      </c>
      <c r="Y8" s="7">
        <f>$B8 * IFERROR(VLOOKUP("industry|PM25|Asthma symptoms wheeze", US_national_yearly!$D:$AM, 33, FALSE) / VLOOKUP("industry|PM25|Asthma symptoms wheeze", US_national_yearly!$D:$AM, 10, FALSE), 1)</f>
        <v>0.18447422370682864</v>
      </c>
      <c r="Z8" s="7">
        <f>$B8 * IFERROR(VLOOKUP("industry|PM25|Asthma symptoms wheeze", US_national_yearly!$D:$AM, 34, FALSE) / VLOOKUP("industry|PM25|Asthma symptoms wheeze", US_national_yearly!$D:$AM, 10, FALSE), 1)</f>
        <v>0.18447422370682864</v>
      </c>
      <c r="AA8" s="7">
        <f>$B8 * IFERROR(VLOOKUP("industry|PM25|Asthma symptoms wheeze", US_national_yearly!$D:$AM, 35, FALSE) / VLOOKUP("industry|PM25|Asthma symptoms wheeze", US_national_yearly!$D:$AM, 10, FALSE), 1)</f>
        <v>0.18447422370682864</v>
      </c>
      <c r="AB8" s="7">
        <f>$B8 * IFERROR(VLOOKUP("industry|PM25|Asthma symptoms wheeze", US_national_yearly!$D:$AM, 36, FALSE) / VLOOKUP("industry|PM25|Asthma symptoms wheeze", US_national_yearly!$D:$AM, 10, FALSE), 1)</f>
        <v>0.18447422370682864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9.8352034761355479E-4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9.89104346996638E-4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9.94688346379721E-4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1.0002723457628042E-3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1.0058563451458874E-3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1.0118937017428152E-3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1.0179310583397431E-3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1.0236582506103298E-3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1.0293854428809167E-3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1.0351126351515034E-3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1.0408398274220903E-3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1.0465670196926769E-3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1.0506177023533747E-3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1.054668385014072E-3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1.0587190676747695E-3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1.0627697503354668E-3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1.0668204329961643E-3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1.0706409428954578E-3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1.0744614527947512E-3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1.0782819626940449E-3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1.0821024725933383E-3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1.085922982492632E-3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1.0896015780760692E-3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1.0932801736595063E-3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1.0969587692429437E-3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1.1006373648263811E-3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1.1043159604098183E-3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6.8737784228159876E-3</v>
      </c>
      <c r="C13" s="7">
        <f>$B13 * IFERROR(VLOOKUP("industry|PM25|Non-fatal heart attacks", US_national_yearly!$D:$AM, 11, FALSE) / VLOOKUP("industry|PM25|Non-fatal heart attacks", US_national_yearly!$D:$AM, 10, FALSE), 1)</f>
        <v>7.0738759150495035E-3</v>
      </c>
      <c r="D13" s="7">
        <f>$B13 * IFERROR(VLOOKUP("industry|PM25|Non-fatal heart attacks", US_national_yearly!$D:$AM, 12, FALSE) / VLOOKUP("industry|PM25|Non-fatal heart attacks", US_national_yearly!$D:$AM, 10, FALSE), 1)</f>
        <v>7.2739734072830176E-3</v>
      </c>
      <c r="E13" s="7">
        <f>$B13 * IFERROR(VLOOKUP("industry|PM25|Non-fatal heart attacks", US_national_yearly!$D:$AM, 13, FALSE) / VLOOKUP("industry|PM25|Non-fatal heart attacks", US_national_yearly!$D:$AM, 10, FALSE), 1)</f>
        <v>7.4740708995165326E-3</v>
      </c>
      <c r="F13" s="7">
        <f>$B13 * IFERROR(VLOOKUP("industry|PM25|Non-fatal heart attacks", US_national_yearly!$D:$AM, 14, FALSE) / VLOOKUP("industry|PM25|Non-fatal heart attacks", US_national_yearly!$D:$AM, 10, FALSE), 1)</f>
        <v>7.6741683917500485E-3</v>
      </c>
      <c r="G13" s="7">
        <f>$B13 * IFERROR(VLOOKUP("industry|PM25|Non-fatal heart attacks", US_national_yearly!$D:$AM, 15, FALSE) / VLOOKUP("industry|PM25|Non-fatal heart attacks", US_national_yearly!$D:$AM, 10, FALSE), 1)</f>
        <v>7.8630744939191394E-3</v>
      </c>
      <c r="H13" s="7">
        <f>$B13 * IFERROR(VLOOKUP("industry|PM25|Non-fatal heart attacks", US_national_yearly!$D:$AM, 16, FALSE) / VLOOKUP("industry|PM25|Non-fatal heart attacks", US_national_yearly!$D:$AM, 10, FALSE), 1)</f>
        <v>8.0519805960882328E-3</v>
      </c>
      <c r="I13" s="7">
        <f>$B13 * IFERROR(VLOOKUP("industry|PM25|Non-fatal heart attacks", US_national_yearly!$D:$AM, 17, FALSE) / VLOOKUP("industry|PM25|Non-fatal heart attacks", US_national_yearly!$D:$AM, 10, FALSE), 1)</f>
        <v>8.2045240181815218E-3</v>
      </c>
      <c r="J13" s="7">
        <f>$B13 * IFERROR(VLOOKUP("industry|PM25|Non-fatal heart attacks", US_national_yearly!$D:$AM, 18, FALSE) / VLOOKUP("industry|PM25|Non-fatal heart attacks", US_national_yearly!$D:$AM, 10, FALSE), 1)</f>
        <v>8.3570674402748089E-3</v>
      </c>
      <c r="K13" s="7">
        <f>$B13 * IFERROR(VLOOKUP("industry|PM25|Non-fatal heart attacks", US_national_yearly!$D:$AM, 19, FALSE) / VLOOKUP("industry|PM25|Non-fatal heart attacks", US_national_yearly!$D:$AM, 10, FALSE), 1)</f>
        <v>8.5096108623680961E-3</v>
      </c>
      <c r="L13" s="7">
        <f>$B13 * IFERROR(VLOOKUP("industry|PM25|Non-fatal heart attacks", US_national_yearly!$D:$AM, 20, FALSE) / VLOOKUP("industry|PM25|Non-fatal heart attacks", US_national_yearly!$D:$AM, 10, FALSE), 1)</f>
        <v>8.6621542844613833E-3</v>
      </c>
      <c r="M13" s="7">
        <f>$B13 * IFERROR(VLOOKUP("industry|PM25|Non-fatal heart attacks", US_national_yearly!$D:$AM, 21, FALSE) / VLOOKUP("industry|PM25|Non-fatal heart attacks", US_national_yearly!$D:$AM, 10, FALSE), 1)</f>
        <v>8.8146977065546705E-3</v>
      </c>
      <c r="N13" s="7">
        <f>$B13 * IFERROR(VLOOKUP("industry|PM25|Non-fatal heart attacks", US_national_yearly!$D:$AM, 22, FALSE) / VLOOKUP("industry|PM25|Non-fatal heart attacks", US_national_yearly!$D:$AM, 10, FALSE), 1)</f>
        <v>8.9133255242224187E-3</v>
      </c>
      <c r="O13" s="7">
        <f>$B13 * IFERROR(VLOOKUP("industry|PM25|Non-fatal heart attacks", US_national_yearly!$D:$AM, 23, FALSE) / VLOOKUP("industry|PM25|Non-fatal heart attacks", US_national_yearly!$D:$AM, 10, FALSE), 1)</f>
        <v>9.0119533418901686E-3</v>
      </c>
      <c r="P13" s="7">
        <f>$B13 * IFERROR(VLOOKUP("industry|PM25|Non-fatal heart attacks", US_national_yearly!$D:$AM, 24, FALSE) / VLOOKUP("industry|PM25|Non-fatal heart attacks", US_national_yearly!$D:$AM, 10, FALSE), 1)</f>
        <v>9.1105811595579168E-3</v>
      </c>
      <c r="Q13" s="7">
        <f>$B13 * IFERROR(VLOOKUP("industry|PM25|Non-fatal heart attacks", US_national_yearly!$D:$AM, 25, FALSE) / VLOOKUP("industry|PM25|Non-fatal heart attacks", US_national_yearly!$D:$AM, 10, FALSE), 1)</f>
        <v>9.2092089772256632E-3</v>
      </c>
      <c r="R13" s="7">
        <f>$B13 * IFERROR(VLOOKUP("industry|PM25|Non-fatal heart attacks", US_national_yearly!$D:$AM, 26, FALSE) / VLOOKUP("industry|PM25|Non-fatal heart attacks", US_national_yearly!$D:$AM, 10, FALSE), 1)</f>
        <v>9.3078367948934114E-3</v>
      </c>
      <c r="S13" s="7">
        <f>$B13 * IFERROR(VLOOKUP("industry|PM25|Non-fatal heart attacks", US_national_yearly!$D:$AM, 27, FALSE) / VLOOKUP("industry|PM25|Non-fatal heart attacks", US_national_yearly!$D:$AM, 10, FALSE), 1)</f>
        <v>9.3605142860745932E-3</v>
      </c>
      <c r="T13" s="7">
        <f>$B13 * IFERROR(VLOOKUP("industry|PM25|Non-fatal heart attacks", US_national_yearly!$D:$AM, 28, FALSE) / VLOOKUP("industry|PM25|Non-fatal heart attacks", US_national_yearly!$D:$AM, 10, FALSE), 1)</f>
        <v>9.4131917772557767E-3</v>
      </c>
      <c r="U13" s="7">
        <f>$B13 * IFERROR(VLOOKUP("industry|PM25|Non-fatal heart attacks", US_national_yearly!$D:$AM, 29, FALSE) / VLOOKUP("industry|PM25|Non-fatal heart attacks", US_national_yearly!$D:$AM, 10, FALSE), 1)</f>
        <v>9.4658692684369602E-3</v>
      </c>
      <c r="V13" s="7">
        <f>$B13 * IFERROR(VLOOKUP("industry|PM25|Non-fatal heart attacks", US_national_yearly!$D:$AM, 30, FALSE) / VLOOKUP("industry|PM25|Non-fatal heart attacks", US_national_yearly!$D:$AM, 10, FALSE), 1)</f>
        <v>9.5185467596181402E-3</v>
      </c>
      <c r="W13" s="7">
        <f>$B13 * IFERROR(VLOOKUP("industry|PM25|Non-fatal heart attacks", US_national_yearly!$D:$AM, 31, FALSE) / VLOOKUP("industry|PM25|Non-fatal heart attacks", US_national_yearly!$D:$AM, 10, FALSE), 1)</f>
        <v>9.5712242507993255E-3</v>
      </c>
      <c r="X13" s="7">
        <f>$B13 * IFERROR(VLOOKUP("industry|PM25|Non-fatal heart attacks", US_national_yearly!$D:$AM, 32, FALSE) / VLOOKUP("industry|PM25|Non-fatal heart attacks", US_national_yearly!$D:$AM, 10, FALSE), 1)</f>
        <v>9.6118803985551678E-3</v>
      </c>
      <c r="Y13" s="7">
        <f>$B13 * IFERROR(VLOOKUP("industry|PM25|Non-fatal heart attacks", US_national_yearly!$D:$AM, 33, FALSE) / VLOOKUP("industry|PM25|Non-fatal heart attacks", US_national_yearly!$D:$AM, 10, FALSE), 1)</f>
        <v>9.6525365463110101E-3</v>
      </c>
      <c r="Z13" s="7">
        <f>$B13 * IFERROR(VLOOKUP("industry|PM25|Non-fatal heart attacks", US_national_yearly!$D:$AM, 34, FALSE) / VLOOKUP("industry|PM25|Non-fatal heart attacks", US_national_yearly!$D:$AM, 10, FALSE), 1)</f>
        <v>9.6931926940668524E-3</v>
      </c>
      <c r="AA13" s="7">
        <f>$B13 * IFERROR(VLOOKUP("industry|PM25|Non-fatal heart attacks", US_national_yearly!$D:$AM, 35, FALSE) / VLOOKUP("industry|PM25|Non-fatal heart attacks", US_national_yearly!$D:$AM, 10, FALSE), 1)</f>
        <v>9.7338488418226947E-3</v>
      </c>
      <c r="AB13" s="7">
        <f>$B13 * IFERROR(VLOOKUP("industry|PM25|Non-fatal heart attacks", US_national_yearly!$D:$AM, 36, FALSE) / VLOOKUP("industry|PM25|Non-fatal heart attacks", US_national_yearly!$D:$AM, 10, FALSE), 1)</f>
        <v>9.7745049895785387E-3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8.7168666666196319</v>
      </c>
      <c r="C14" s="7">
        <f>$B14 * IFERROR(VLOOKUP("industry|PM25|Minor restricted activity days", US_national_yearly!$D:$AM, 11, FALSE) / VLOOKUP("industry|PM25|Minor restricted activity days", US_national_yearly!$D:$AM, 10, FALSE), 1)</f>
        <v>8.7382157179572406</v>
      </c>
      <c r="D14" s="7">
        <f>$B14 * IFERROR(VLOOKUP("industry|PM25|Minor restricted activity days", US_national_yearly!$D:$AM, 12, FALSE) / VLOOKUP("industry|PM25|Minor restricted activity days", US_national_yearly!$D:$AM, 10, FALSE), 1)</f>
        <v>8.7595647692948528</v>
      </c>
      <c r="E14" s="7">
        <f>$B14 * IFERROR(VLOOKUP("industry|PM25|Minor restricted activity days", US_national_yearly!$D:$AM, 13, FALSE) / VLOOKUP("industry|PM25|Minor restricted activity days", US_national_yearly!$D:$AM, 10, FALSE), 1)</f>
        <v>8.7809138206324615</v>
      </c>
      <c r="F14" s="7">
        <f>$B14 * IFERROR(VLOOKUP("industry|PM25|Minor restricted activity days", US_national_yearly!$D:$AM, 14, FALSE) / VLOOKUP("industry|PM25|Minor restricted activity days", US_national_yearly!$D:$AM, 10, FALSE), 1)</f>
        <v>8.802262871970072</v>
      </c>
      <c r="G14" s="7">
        <f>$B14 * IFERROR(VLOOKUP("industry|PM25|Minor restricted activity days", US_national_yearly!$D:$AM, 15, FALSE) / VLOOKUP("industry|PM25|Minor restricted activity days", US_national_yearly!$D:$AM, 10, FALSE), 1)</f>
        <v>8.8335998095007877</v>
      </c>
      <c r="H14" s="7">
        <f>$B14 * IFERROR(VLOOKUP("industry|PM25|Minor restricted activity days", US_national_yearly!$D:$AM, 16, FALSE) / VLOOKUP("industry|PM25|Minor restricted activity days", US_national_yearly!$D:$AM, 10, FALSE), 1)</f>
        <v>8.8649367470315017</v>
      </c>
      <c r="I14" s="7">
        <f>$B14 * IFERROR(VLOOKUP("industry|PM25|Minor restricted activity days", US_national_yearly!$D:$AM, 17, FALSE) / VLOOKUP("industry|PM25|Minor restricted activity days", US_national_yearly!$D:$AM, 10, FALSE), 1)</f>
        <v>8.9181701463105369</v>
      </c>
      <c r="J14" s="7">
        <f>$B14 * IFERROR(VLOOKUP("industry|PM25|Minor restricted activity days", US_national_yearly!$D:$AM, 18, FALSE) / VLOOKUP("industry|PM25|Minor restricted activity days", US_national_yearly!$D:$AM, 10, FALSE), 1)</f>
        <v>8.9714035455895722</v>
      </c>
      <c r="K14" s="7">
        <f>$B14 * IFERROR(VLOOKUP("industry|PM25|Minor restricted activity days", US_national_yearly!$D:$AM, 19, FALSE) / VLOOKUP("industry|PM25|Minor restricted activity days", US_national_yearly!$D:$AM, 10, FALSE), 1)</f>
        <v>9.0246369448686057</v>
      </c>
      <c r="L14" s="7">
        <f>$B14 * IFERROR(VLOOKUP("industry|PM25|Minor restricted activity days", US_national_yearly!$D:$AM, 20, FALSE) / VLOOKUP("industry|PM25|Minor restricted activity days", US_national_yearly!$D:$AM, 10, FALSE), 1)</f>
        <v>9.0778703441476392</v>
      </c>
      <c r="M14" s="7">
        <f>$B14 * IFERROR(VLOOKUP("industry|PM25|Minor restricted activity days", US_national_yearly!$D:$AM, 21, FALSE) / VLOOKUP("industry|PM25|Minor restricted activity days", US_national_yearly!$D:$AM, 10, FALSE), 1)</f>
        <v>9.1311037434266744</v>
      </c>
      <c r="N14" s="7">
        <f>$B14 * IFERROR(VLOOKUP("industry|PM25|Minor restricted activity days", US_national_yearly!$D:$AM, 22, FALSE) / VLOOKUP("industry|PM25|Minor restricted activity days", US_national_yearly!$D:$AM, 10, FALSE), 1)</f>
        <v>9.2038258231571959</v>
      </c>
      <c r="O14" s="7">
        <f>$B14 * IFERROR(VLOOKUP("industry|PM25|Minor restricted activity days", US_national_yearly!$D:$AM, 23, FALSE) / VLOOKUP("industry|PM25|Minor restricted activity days", US_national_yearly!$D:$AM, 10, FALSE), 1)</f>
        <v>9.2765479028877245</v>
      </c>
      <c r="P14" s="7">
        <f>$B14 * IFERROR(VLOOKUP("industry|PM25|Minor restricted activity days", US_national_yearly!$D:$AM, 24, FALSE) / VLOOKUP("industry|PM25|Minor restricted activity days", US_national_yearly!$D:$AM, 10, FALSE), 1)</f>
        <v>9.3492699826182477</v>
      </c>
      <c r="Q14" s="7">
        <f>$B14 * IFERROR(VLOOKUP("industry|PM25|Minor restricted activity days", US_national_yearly!$D:$AM, 25, FALSE) / VLOOKUP("industry|PM25|Minor restricted activity days", US_national_yearly!$D:$AM, 10, FALSE), 1)</f>
        <v>9.4219920623487781</v>
      </c>
      <c r="R14" s="7">
        <f>$B14 * IFERROR(VLOOKUP("industry|PM25|Minor restricted activity days", US_national_yearly!$D:$AM, 26, FALSE) / VLOOKUP("industry|PM25|Minor restricted activity days", US_national_yearly!$D:$AM, 10, FALSE), 1)</f>
        <v>9.4947141420793013</v>
      </c>
      <c r="S14" s="7">
        <f>$B14 * IFERROR(VLOOKUP("industry|PM25|Minor restricted activity days", US_national_yearly!$D:$AM, 27, FALSE) / VLOOKUP("industry|PM25|Minor restricted activity days", US_national_yearly!$D:$AM, 10, FALSE), 1)</f>
        <v>9.5681343822166252</v>
      </c>
      <c r="T14" s="7">
        <f>$B14 * IFERROR(VLOOKUP("industry|PM25|Minor restricted activity days", US_national_yearly!$D:$AM, 28, FALSE) / VLOOKUP("industry|PM25|Minor restricted activity days", US_national_yearly!$D:$AM, 10, FALSE), 1)</f>
        <v>9.6415546223539508</v>
      </c>
      <c r="U14" s="7">
        <f>$B14 * IFERROR(VLOOKUP("industry|PM25|Minor restricted activity days", US_national_yearly!$D:$AM, 29, FALSE) / VLOOKUP("industry|PM25|Minor restricted activity days", US_national_yearly!$D:$AM, 10, FALSE), 1)</f>
        <v>9.7149748624912764</v>
      </c>
      <c r="V14" s="7">
        <f>$B14 * IFERROR(VLOOKUP("industry|PM25|Minor restricted activity days", US_national_yearly!$D:$AM, 30, FALSE) / VLOOKUP("industry|PM25|Minor restricted activity days", US_national_yearly!$D:$AM, 10, FALSE), 1)</f>
        <v>9.7883951026286002</v>
      </c>
      <c r="W14" s="7">
        <f>$B14 * IFERROR(VLOOKUP("industry|PM25|Minor restricted activity days", US_national_yearly!$D:$AM, 31, FALSE) / VLOOKUP("industry|PM25|Minor restricted activity days", US_national_yearly!$D:$AM, 10, FALSE), 1)</f>
        <v>9.8618153427659259</v>
      </c>
      <c r="X14" s="7">
        <f>$B14 * IFERROR(VLOOKUP("industry|PM25|Minor restricted activity days", US_national_yearly!$D:$AM, 32, FALSE) / VLOOKUP("industry|PM25|Minor restricted activity days", US_national_yearly!$D:$AM, 10, FALSE), 1)</f>
        <v>9.9256148425773318</v>
      </c>
      <c r="Y14" s="7">
        <f>$B14 * IFERROR(VLOOKUP("industry|PM25|Minor restricted activity days", US_national_yearly!$D:$AM, 33, FALSE) / VLOOKUP("industry|PM25|Minor restricted activity days", US_national_yearly!$D:$AM, 10, FALSE), 1)</f>
        <v>9.9894143423887396</v>
      </c>
      <c r="Z14" s="7">
        <f>$B14 * IFERROR(VLOOKUP("industry|PM25|Minor restricted activity days", US_national_yearly!$D:$AM, 34, FALSE) / VLOOKUP("industry|PM25|Minor restricted activity days", US_national_yearly!$D:$AM, 10, FALSE), 1)</f>
        <v>10.053213842200147</v>
      </c>
      <c r="AA14" s="7">
        <f>$B14 * IFERROR(VLOOKUP("industry|PM25|Minor restricted activity days", US_national_yearly!$D:$AM, 35, FALSE) / VLOOKUP("industry|PM25|Minor restricted activity days", US_national_yearly!$D:$AM, 10, FALSE), 1)</f>
        <v>10.117013342011553</v>
      </c>
      <c r="AB14" s="7">
        <f>$B14 * IFERROR(VLOOKUP("industry|PM25|Minor restricted activity days", US_national_yearly!$D:$AM, 36, FALSE) / VLOOKUP("industry|PM25|Minor restricted activity days", US_national_yearly!$D:$AM, 10, FALSE), 1)</f>
        <v>10.180812841822961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1.4942310382981641</v>
      </c>
      <c r="C15" s="7">
        <f>$B15 * IFERROR(VLOOKUP("industry|PM25|Work loss days", US_national_yearly!$D:$AM, 11, FALSE) / VLOOKUP("industry|PM25|Work loss days", US_national_yearly!$D:$AM, 10, FALSE), 1)</f>
        <v>1.4988637544499266</v>
      </c>
      <c r="D15" s="7">
        <f>$B15 * IFERROR(VLOOKUP("industry|PM25|Work loss days", US_national_yearly!$D:$AM, 12, FALSE) / VLOOKUP("industry|PM25|Work loss days", US_national_yearly!$D:$AM, 10, FALSE), 1)</f>
        <v>1.5034964706016893</v>
      </c>
      <c r="E15" s="7">
        <f>$B15 * IFERROR(VLOOKUP("industry|PM25|Work loss days", US_national_yearly!$D:$AM, 13, FALSE) / VLOOKUP("industry|PM25|Work loss days", US_national_yearly!$D:$AM, 10, FALSE), 1)</f>
        <v>1.5081291867534514</v>
      </c>
      <c r="F15" s="7">
        <f>$B15 * IFERROR(VLOOKUP("industry|PM25|Work loss days", US_national_yearly!$D:$AM, 14, FALSE) / VLOOKUP("industry|PM25|Work loss days", US_national_yearly!$D:$AM, 10, FALSE), 1)</f>
        <v>1.5127619029052142</v>
      </c>
      <c r="G15" s="7">
        <f>$B15 * IFERROR(VLOOKUP("industry|PM25|Work loss days", US_national_yearly!$D:$AM, 15, FALSE) / VLOOKUP("industry|PM25|Work loss days", US_national_yearly!$D:$AM, 10, FALSE), 1)</f>
        <v>1.5188101166840839</v>
      </c>
      <c r="H15" s="7">
        <f>$B15 * IFERROR(VLOOKUP("industry|PM25|Work loss days", US_national_yearly!$D:$AM, 16, FALSE) / VLOOKUP("industry|PM25|Work loss days", US_national_yearly!$D:$AM, 10, FALSE), 1)</f>
        <v>1.5248583304629539</v>
      </c>
      <c r="I15" s="7">
        <f>$B15 * IFERROR(VLOOKUP("industry|PM25|Work loss days", US_national_yearly!$D:$AM, 17, FALSE) / VLOOKUP("industry|PM25|Work loss days", US_national_yearly!$D:$AM, 10, FALSE), 1)</f>
        <v>1.5337148403628242</v>
      </c>
      <c r="J15" s="7">
        <f>$B15 * IFERROR(VLOOKUP("industry|PM25|Work loss days", US_national_yearly!$D:$AM, 18, FALSE) / VLOOKUP("industry|PM25|Work loss days", US_national_yearly!$D:$AM, 10, FALSE), 1)</f>
        <v>1.5425713502626945</v>
      </c>
      <c r="K15" s="7">
        <f>$B15 * IFERROR(VLOOKUP("industry|PM25|Work loss days", US_national_yearly!$D:$AM, 19, FALSE) / VLOOKUP("industry|PM25|Work loss days", US_national_yearly!$D:$AM, 10, FALSE), 1)</f>
        <v>1.5514278601625644</v>
      </c>
      <c r="L15" s="7">
        <f>$B15 * IFERROR(VLOOKUP("industry|PM25|Work loss days", US_national_yearly!$D:$AM, 20, FALSE) / VLOOKUP("industry|PM25|Work loss days", US_national_yearly!$D:$AM, 10, FALSE), 1)</f>
        <v>1.5602843700624347</v>
      </c>
      <c r="M15" s="7">
        <f>$B15 * IFERROR(VLOOKUP("industry|PM25|Work loss days", US_national_yearly!$D:$AM, 21, FALSE) / VLOOKUP("industry|PM25|Work loss days", US_national_yearly!$D:$AM, 10, FALSE), 1)</f>
        <v>1.569140879962305</v>
      </c>
      <c r="N15" s="7">
        <f>$B15 * IFERROR(VLOOKUP("industry|PM25|Work loss days", US_national_yearly!$D:$AM, 22, FALSE) / VLOOKUP("industry|PM25|Work loss days", US_national_yearly!$D:$AM, 10, FALSE), 1)</f>
        <v>1.5803166329691736</v>
      </c>
      <c r="O15" s="7">
        <f>$B15 * IFERROR(VLOOKUP("industry|PM25|Work loss days", US_national_yearly!$D:$AM, 23, FALSE) / VLOOKUP("industry|PM25|Work loss days", US_national_yearly!$D:$AM, 10, FALSE), 1)</f>
        <v>1.5914923859760421</v>
      </c>
      <c r="P15" s="7">
        <f>$B15 * IFERROR(VLOOKUP("industry|PM25|Work loss days", US_national_yearly!$D:$AM, 24, FALSE) / VLOOKUP("industry|PM25|Work loss days", US_national_yearly!$D:$AM, 10, FALSE), 1)</f>
        <v>1.6026681389829103</v>
      </c>
      <c r="Q15" s="7">
        <f>$B15 * IFERROR(VLOOKUP("industry|PM25|Work loss days", US_national_yearly!$D:$AM, 25, FALSE) / VLOOKUP("industry|PM25|Work loss days", US_national_yearly!$D:$AM, 10, FALSE), 1)</f>
        <v>1.6138438919897788</v>
      </c>
      <c r="R15" s="7">
        <f>$B15 * IFERROR(VLOOKUP("industry|PM25|Work loss days", US_national_yearly!$D:$AM, 26, FALSE) / VLOOKUP("industry|PM25|Work loss days", US_national_yearly!$D:$AM, 10, FALSE), 1)</f>
        <v>1.625019644996647</v>
      </c>
      <c r="S15" s="7">
        <f>$B15 * IFERROR(VLOOKUP("industry|PM25|Work loss days", US_national_yearly!$D:$AM, 27, FALSE) / VLOOKUP("industry|PM25|Work loss days", US_national_yearly!$D:$AM, 10, FALSE), 1)</f>
        <v>1.6374119707117984</v>
      </c>
      <c r="T15" s="7">
        <f>$B15 * IFERROR(VLOOKUP("industry|PM25|Work loss days", US_national_yearly!$D:$AM, 28, FALSE) / VLOOKUP("industry|PM25|Work loss days", US_national_yearly!$D:$AM, 10, FALSE), 1)</f>
        <v>1.6498042964269493</v>
      </c>
      <c r="U15" s="7">
        <f>$B15 * IFERROR(VLOOKUP("industry|PM25|Work loss days", US_national_yearly!$D:$AM, 29, FALSE) / VLOOKUP("industry|PM25|Work loss days", US_national_yearly!$D:$AM, 10, FALSE), 1)</f>
        <v>1.6621966221421003</v>
      </c>
      <c r="V15" s="7">
        <f>$B15 * IFERROR(VLOOKUP("industry|PM25|Work loss days", US_national_yearly!$D:$AM, 30, FALSE) / VLOOKUP("industry|PM25|Work loss days", US_national_yearly!$D:$AM, 10, FALSE), 1)</f>
        <v>1.6745889478572513</v>
      </c>
      <c r="W15" s="7">
        <f>$B15 * IFERROR(VLOOKUP("industry|PM25|Work loss days", US_national_yearly!$D:$AM, 31, FALSE) / VLOOKUP("industry|PM25|Work loss days", US_national_yearly!$D:$AM, 10, FALSE), 1)</f>
        <v>1.6869812735724026</v>
      </c>
      <c r="X15" s="7">
        <f>$B15 * IFERROR(VLOOKUP("industry|PM25|Work loss days", US_national_yearly!$D:$AM, 32, FALSE) / VLOOKUP("industry|PM25|Work loss days", US_national_yearly!$D:$AM, 10, FALSE), 1)</f>
        <v>1.6979934844377009</v>
      </c>
      <c r="Y15" s="7">
        <f>$B15 * IFERROR(VLOOKUP("industry|PM25|Work loss days", US_national_yearly!$D:$AM, 33, FALSE) / VLOOKUP("industry|PM25|Work loss days", US_national_yearly!$D:$AM, 10, FALSE), 1)</f>
        <v>1.7090056953029997</v>
      </c>
      <c r="Z15" s="7">
        <f>$B15 * IFERROR(VLOOKUP("industry|PM25|Work loss days", US_national_yearly!$D:$AM, 34, FALSE) / VLOOKUP("industry|PM25|Work loss days", US_national_yearly!$D:$AM, 10, FALSE), 1)</f>
        <v>1.7200179061682985</v>
      </c>
      <c r="AA15" s="7">
        <f>$B15 * IFERROR(VLOOKUP("industry|PM25|Work loss days", US_national_yearly!$D:$AM, 35, FALSE) / VLOOKUP("industry|PM25|Work loss days", US_national_yearly!$D:$AM, 10, FALSE), 1)</f>
        <v>1.7310301170335971</v>
      </c>
      <c r="AB15" s="7">
        <f>$B15 * IFERROR(VLOOKUP("industry|PM25|Work loss days", US_national_yearly!$D:$AM, 36, FALSE) / VLOOKUP("industry|PM25|Work loss days", US_national_yearly!$D:$AM, 10, FALSE), 1)</f>
        <v>1.7420423278988959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1.2904838385269033E-3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1.329083037492899E-3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1.3676822364588946E-3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1.4062814354248903E-3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1.4448806343908857E-3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1.4818751844191734E-3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1.5188697344474609E-3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1.5506327976413149E-3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1.5823958608351687E-3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1.6141589240290231E-3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1.6459219872228771E-3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1.6776850504167313E-3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1.6989028963816687E-3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1.7201207423466057E-3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1.7413385883115432E-3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1.7625564342764804E-3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1.7837742802414177E-3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1.795142287565198E-3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1.8065102948889781E-3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1.8178783022127587E-3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1.8292463095365386E-3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1.8406143168603188E-3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1.8484206656002472E-3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1.8562270143401747E-3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1.8640333630801026E-3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1.8718397118200304E-3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1.8796460605599583E-3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7.2004502372863358E-5</v>
      </c>
      <c r="C2" s="7">
        <f>$B2 * IFERROR(VLOOKUP("industry|NOx|Premature mortality", US_national_yearly!$D:$AM, 11, FALSE) / VLOOKUP("industry|NOx|Premature mortality", US_national_yearly!$D:$AM, 10, FALSE), 1)</f>
        <v>7.3069214049818792E-5</v>
      </c>
      <c r="D2" s="7">
        <f>$B2 * IFERROR(VLOOKUP("industry|NOx|Premature mortality", US_national_yearly!$D:$AM, 12, FALSE) / VLOOKUP("industry|NOx|Premature mortality", US_national_yearly!$D:$AM, 10, FALSE), 1)</f>
        <v>7.4133925726774252E-5</v>
      </c>
      <c r="E2" s="7">
        <f>$B2 * IFERROR(VLOOKUP("industry|NOx|Premature mortality", US_national_yearly!$D:$AM, 13, FALSE) / VLOOKUP("industry|NOx|Premature mortality", US_national_yearly!$D:$AM, 10, FALSE), 1)</f>
        <v>7.5198637403729686E-5</v>
      </c>
      <c r="F2" s="7">
        <f>$B2 * IFERROR(VLOOKUP("industry|NOx|Premature mortality", US_national_yearly!$D:$AM, 14, FALSE) / VLOOKUP("industry|NOx|Premature mortality", US_national_yearly!$D:$AM, 10, FALSE), 1)</f>
        <v>7.6263349080685146E-5</v>
      </c>
      <c r="G2" s="7">
        <f>$B2 * IFERROR(VLOOKUP("industry|NOx|Premature mortality", US_national_yearly!$D:$AM, 15, FALSE) / VLOOKUP("industry|NOx|Premature mortality", US_national_yearly!$D:$AM, 10, FALSE), 1)</f>
        <v>7.8172775833347161E-5</v>
      </c>
      <c r="H2" s="7">
        <f>$B2 * IFERROR(VLOOKUP("industry|NOx|Premature mortality", US_national_yearly!$D:$AM, 16, FALSE) / VLOOKUP("industry|NOx|Premature mortality", US_national_yearly!$D:$AM, 10, FALSE), 1)</f>
        <v>8.008220258600919E-5</v>
      </c>
      <c r="I2" s="7">
        <f>$B2 * IFERROR(VLOOKUP("industry|NOx|Premature mortality", US_national_yearly!$D:$AM, 17, FALSE) / VLOOKUP("industry|NOx|Premature mortality", US_national_yearly!$D:$AM, 10, FALSE), 1)</f>
        <v>8.1320911969764761E-5</v>
      </c>
      <c r="J2" s="7">
        <f>$B2 * IFERROR(VLOOKUP("industry|NOx|Premature mortality", US_national_yearly!$D:$AM, 18, FALSE) / VLOOKUP("industry|NOx|Premature mortality", US_national_yearly!$D:$AM, 10, FALSE), 1)</f>
        <v>8.2559621353520333E-5</v>
      </c>
      <c r="K2" s="7">
        <f>$B2 * IFERROR(VLOOKUP("industry|NOx|Premature mortality", US_national_yearly!$D:$AM, 19, FALSE) / VLOOKUP("industry|NOx|Premature mortality", US_national_yearly!$D:$AM, 10, FALSE), 1)</f>
        <v>8.3798330737275918E-5</v>
      </c>
      <c r="L2" s="7">
        <f>$B2 * IFERROR(VLOOKUP("industry|NOx|Premature mortality", US_national_yearly!$D:$AM, 20, FALSE) / VLOOKUP("industry|NOx|Premature mortality", US_national_yearly!$D:$AM, 10, FALSE), 1)</f>
        <v>8.5037040121031489E-5</v>
      </c>
      <c r="M2" s="7">
        <f>$B2 * IFERROR(VLOOKUP("industry|NOx|Premature mortality", US_national_yearly!$D:$AM, 21, FALSE) / VLOOKUP("industry|NOx|Premature mortality", US_national_yearly!$D:$AM, 10, FALSE), 1)</f>
        <v>8.6275749504787061E-5</v>
      </c>
      <c r="N2" s="7">
        <f>$B2 * IFERROR(VLOOKUP("industry|NOx|Premature mortality", US_national_yearly!$D:$AM, 22, FALSE) / VLOOKUP("industry|NOx|Premature mortality", US_national_yearly!$D:$AM, 10, FALSE), 1)</f>
        <v>8.7197510926042358E-5</v>
      </c>
      <c r="O2" s="7">
        <f>$B2 * IFERROR(VLOOKUP("industry|NOx|Premature mortality", US_national_yearly!$D:$AM, 23, FALSE) / VLOOKUP("industry|NOx|Premature mortality", US_national_yearly!$D:$AM, 10, FALSE), 1)</f>
        <v>8.8119272347297642E-5</v>
      </c>
      <c r="P2" s="7">
        <f>$B2 * IFERROR(VLOOKUP("industry|NOx|Premature mortality", US_national_yearly!$D:$AM, 24, FALSE) / VLOOKUP("industry|NOx|Premature mortality", US_national_yearly!$D:$AM, 10, FALSE), 1)</f>
        <v>8.9041033768552912E-5</v>
      </c>
      <c r="Q2" s="7">
        <f>$B2 * IFERROR(VLOOKUP("industry|NOx|Premature mortality", US_national_yearly!$D:$AM, 25, FALSE) / VLOOKUP("industry|NOx|Premature mortality", US_national_yearly!$D:$AM, 10, FALSE), 1)</f>
        <v>8.996279518980821E-5</v>
      </c>
      <c r="R2" s="7">
        <f>$B2 * IFERROR(VLOOKUP("industry|NOx|Premature mortality", US_national_yearly!$D:$AM, 26, FALSE) / VLOOKUP("industry|NOx|Premature mortality", US_national_yearly!$D:$AM, 10, FALSE), 1)</f>
        <v>9.0884556611063494E-5</v>
      </c>
      <c r="S2" s="7">
        <f>$B2 * IFERROR(VLOOKUP("industry|NOx|Premature mortality", US_national_yearly!$D:$AM, 27, FALSE) / VLOOKUP("industry|NOx|Premature mortality", US_national_yearly!$D:$AM, 10, FALSE), 1)</f>
        <v>9.131378437965068E-5</v>
      </c>
      <c r="T2" s="7">
        <f>$B2 * IFERROR(VLOOKUP("industry|NOx|Premature mortality", US_national_yearly!$D:$AM, 28, FALSE) / VLOOKUP("industry|NOx|Premature mortality", US_national_yearly!$D:$AM, 10, FALSE), 1)</f>
        <v>9.1743012148237866E-5</v>
      </c>
      <c r="U2" s="7">
        <f>$B2 * IFERROR(VLOOKUP("industry|NOx|Premature mortality", US_national_yearly!$D:$AM, 29, FALSE) / VLOOKUP("industry|NOx|Premature mortality", US_national_yearly!$D:$AM, 10, FALSE), 1)</f>
        <v>9.2172239916825052E-5</v>
      </c>
      <c r="V2" s="7">
        <f>$B2 * IFERROR(VLOOKUP("industry|NOx|Premature mortality", US_national_yearly!$D:$AM, 30, FALSE) / VLOOKUP("industry|NOx|Premature mortality", US_national_yearly!$D:$AM, 10, FALSE), 1)</f>
        <v>9.2601467685412238E-5</v>
      </c>
      <c r="W2" s="7">
        <f>$B2 * IFERROR(VLOOKUP("industry|NOx|Premature mortality", US_national_yearly!$D:$AM, 31, FALSE) / VLOOKUP("industry|NOx|Premature mortality", US_national_yearly!$D:$AM, 10, FALSE), 1)</f>
        <v>9.303069545399941E-5</v>
      </c>
      <c r="X2" s="7">
        <f>$B2 * IFERROR(VLOOKUP("industry|NOx|Premature mortality", US_national_yearly!$D:$AM, 32, FALSE) / VLOOKUP("industry|NOx|Premature mortality", US_national_yearly!$D:$AM, 10, FALSE), 1)</f>
        <v>9.3063498412820903E-5</v>
      </c>
      <c r="Y2" s="7">
        <f>$B2 * IFERROR(VLOOKUP("industry|NOx|Premature mortality", US_national_yearly!$D:$AM, 33, FALSE) / VLOOKUP("industry|NOx|Premature mortality", US_national_yearly!$D:$AM, 10, FALSE), 1)</f>
        <v>9.3096301371642395E-5</v>
      </c>
      <c r="Z2" s="7">
        <f>$B2 * IFERROR(VLOOKUP("industry|NOx|Premature mortality", US_national_yearly!$D:$AM, 34, FALSE) / VLOOKUP("industry|NOx|Premature mortality", US_national_yearly!$D:$AM, 10, FALSE), 1)</f>
        <v>9.3129104330463887E-5</v>
      </c>
      <c r="AA2" s="7">
        <f>$B2 * IFERROR(VLOOKUP("industry|NOx|Premature mortality", US_national_yearly!$D:$AM, 35, FALSE) / VLOOKUP("industry|NOx|Premature mortality", US_national_yearly!$D:$AM, 10, FALSE), 1)</f>
        <v>9.3161907289285366E-5</v>
      </c>
      <c r="AB2" s="7">
        <f>$B2 * IFERROR(VLOOKUP("industry|NOx|Premature mortality", US_national_yearly!$D:$AM, 36, FALSE) / VLOOKUP("industry|NOx|Premature mortality", US_national_yearly!$D:$AM, 10, FALSE), 1)</f>
        <v>9.3194710248106858E-5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3.3246462382725191E-7</v>
      </c>
      <c r="C3" s="7">
        <f>$B3 * IFERROR(VLOOKUP("industry|NOx|Infant mortality", US_national_yearly!$D:$AM, 11, FALSE) / VLOOKUP("industry|NOx|Infant mortality", US_national_yearly!$D:$AM, 10, FALSE), 1)</f>
        <v>3.2928066583999598E-7</v>
      </c>
      <c r="D3" s="7">
        <f>$B3 * IFERROR(VLOOKUP("industry|NOx|Infant mortality", US_national_yearly!$D:$AM, 12, FALSE) / VLOOKUP("industry|NOx|Infant mortality", US_national_yearly!$D:$AM, 10, FALSE), 1)</f>
        <v>3.2609670785273995E-7</v>
      </c>
      <c r="E3" s="7">
        <f>$B3 * IFERROR(VLOOKUP("industry|NOx|Infant mortality", US_national_yearly!$D:$AM, 13, FALSE) / VLOOKUP("industry|NOx|Infant mortality", US_national_yearly!$D:$AM, 10, FALSE), 1)</f>
        <v>3.2291274986548402E-7</v>
      </c>
      <c r="F3" s="7">
        <f>$B3 * IFERROR(VLOOKUP("industry|NOx|Infant mortality", US_national_yearly!$D:$AM, 14, FALSE) / VLOOKUP("industry|NOx|Infant mortality", US_national_yearly!$D:$AM, 10, FALSE), 1)</f>
        <v>3.1972879187822803E-7</v>
      </c>
      <c r="G3" s="7">
        <f>$B3 * IFERROR(VLOOKUP("industry|NOx|Infant mortality", US_national_yearly!$D:$AM, 15, FALSE) / VLOOKUP("industry|NOx|Infant mortality", US_national_yearly!$D:$AM, 10, FALSE), 1)</f>
        <v>2.1207234623434374E-7</v>
      </c>
      <c r="H3" s="7">
        <f>$B3 * IFERROR(VLOOKUP("industry|NOx|Infant mortality", US_national_yearly!$D:$AM, 16, FALSE) / VLOOKUP("industry|NOx|Infant mortality", US_national_yearly!$D:$AM, 10, FALSE), 1)</f>
        <v>1.0441590059045946E-7</v>
      </c>
      <c r="I3" s="7">
        <f>$B3 * IFERROR(VLOOKUP("industry|NOx|Infant mortality", US_national_yearly!$D:$AM, 17, FALSE) / VLOOKUP("industry|NOx|Infant mortality", US_national_yearly!$D:$AM, 10, FALSE), 1)</f>
        <v>1.0366310703012907E-7</v>
      </c>
      <c r="J3" s="7">
        <f>$B3 * IFERROR(VLOOKUP("industry|NOx|Infant mortality", US_national_yearly!$D:$AM, 18, FALSE) / VLOOKUP("industry|NOx|Infant mortality", US_national_yearly!$D:$AM, 10, FALSE), 1)</f>
        <v>1.0291031346979869E-7</v>
      </c>
      <c r="K3" s="7">
        <f>$B3 * IFERROR(VLOOKUP("industry|NOx|Infant mortality", US_national_yearly!$D:$AM, 19, FALSE) / VLOOKUP("industry|NOx|Infant mortality", US_national_yearly!$D:$AM, 10, FALSE), 1)</f>
        <v>1.021575199094683E-7</v>
      </c>
      <c r="L3" s="7">
        <f>$B3 * IFERROR(VLOOKUP("industry|NOx|Infant mortality", US_national_yearly!$D:$AM, 20, FALSE) / VLOOKUP("industry|NOx|Infant mortality", US_national_yearly!$D:$AM, 10, FALSE), 1)</f>
        <v>1.0140472634913789E-7</v>
      </c>
      <c r="M3" s="7">
        <f>$B3 * IFERROR(VLOOKUP("industry|NOx|Infant mortality", US_national_yearly!$D:$AM, 21, FALSE) / VLOOKUP("industry|NOx|Infant mortality", US_national_yearly!$D:$AM, 10, FALSE), 1)</f>
        <v>1.0065193278880749E-7</v>
      </c>
      <c r="N3" s="7">
        <f>$B3 * IFERROR(VLOOKUP("industry|NOx|Infant mortality", US_national_yearly!$D:$AM, 22, FALSE) / VLOOKUP("industry|NOx|Infant mortality", US_national_yearly!$D:$AM, 10, FALSE), 1)</f>
        <v>1.0014473444408711E-7</v>
      </c>
      <c r="O3" s="7">
        <f>$B3 * IFERROR(VLOOKUP("industry|NOx|Infant mortality", US_national_yearly!$D:$AM, 23, FALSE) / VLOOKUP("industry|NOx|Infant mortality", US_national_yearly!$D:$AM, 10, FALSE), 1)</f>
        <v>9.9637536099366699E-8</v>
      </c>
      <c r="P3" s="7">
        <f>$B3 * IFERROR(VLOOKUP("industry|NOx|Infant mortality", US_national_yearly!$D:$AM, 24, FALSE) / VLOOKUP("industry|NOx|Infant mortality", US_national_yearly!$D:$AM, 10, FALSE), 1)</f>
        <v>9.9130337754646316E-8</v>
      </c>
      <c r="Q3" s="7">
        <f>$B3 * IFERROR(VLOOKUP("industry|NOx|Infant mortality", US_national_yearly!$D:$AM, 25, FALSE) / VLOOKUP("industry|NOx|Infant mortality", US_national_yearly!$D:$AM, 10, FALSE), 1)</f>
        <v>9.8623139409925933E-8</v>
      </c>
      <c r="R3" s="7">
        <f>$B3 * IFERROR(VLOOKUP("industry|NOx|Infant mortality", US_national_yearly!$D:$AM, 26, FALSE) / VLOOKUP("industry|NOx|Infant mortality", US_national_yearly!$D:$AM, 10, FALSE), 1)</f>
        <v>9.811594106520555E-8</v>
      </c>
      <c r="S3" s="7">
        <f>$B3 * IFERROR(VLOOKUP("industry|NOx|Infant mortality", US_national_yearly!$D:$AM, 27, FALSE) / VLOOKUP("industry|NOx|Infant mortality", US_national_yearly!$D:$AM, 10, FALSE), 1)</f>
        <v>9.7513652098580438E-8</v>
      </c>
      <c r="T3" s="7">
        <f>$B3 * IFERROR(VLOOKUP("industry|NOx|Infant mortality", US_national_yearly!$D:$AM, 28, FALSE) / VLOOKUP("industry|NOx|Infant mortality", US_national_yearly!$D:$AM, 10, FALSE), 1)</f>
        <v>9.6911363131955339E-8</v>
      </c>
      <c r="U3" s="7">
        <f>$B3 * IFERROR(VLOOKUP("industry|NOx|Infant mortality", US_national_yearly!$D:$AM, 29, FALSE) / VLOOKUP("industry|NOx|Infant mortality", US_national_yearly!$D:$AM, 10, FALSE), 1)</f>
        <v>9.630907416533024E-8</v>
      </c>
      <c r="V3" s="7">
        <f>$B3 * IFERROR(VLOOKUP("industry|NOx|Infant mortality", US_national_yearly!$D:$AM, 30, FALSE) / VLOOKUP("industry|NOx|Infant mortality", US_national_yearly!$D:$AM, 10, FALSE), 1)</f>
        <v>9.5706785198705127E-8</v>
      </c>
      <c r="W3" s="7">
        <f>$B3 * IFERROR(VLOOKUP("industry|NOx|Infant mortality", US_national_yearly!$D:$AM, 31, FALSE) / VLOOKUP("industry|NOx|Infant mortality", US_national_yearly!$D:$AM, 10, FALSE), 1)</f>
        <v>9.5104496232080041E-8</v>
      </c>
      <c r="X3" s="7">
        <f>$B3 * IFERROR(VLOOKUP("industry|NOx|Infant mortality", US_national_yearly!$D:$AM, 32, FALSE) / VLOOKUP("industry|NOx|Infant mortality", US_national_yearly!$D:$AM, 10, FALSE), 1)</f>
        <v>9.4472026126828006E-8</v>
      </c>
      <c r="Y3" s="7">
        <f>$B3 * IFERROR(VLOOKUP("industry|NOx|Infant mortality", US_national_yearly!$D:$AM, 33, FALSE) / VLOOKUP("industry|NOx|Infant mortality", US_national_yearly!$D:$AM, 10, FALSE), 1)</f>
        <v>9.3839556021575996E-8</v>
      </c>
      <c r="Z3" s="7">
        <f>$B3 * IFERROR(VLOOKUP("industry|NOx|Infant mortality", US_national_yearly!$D:$AM, 34, FALSE) / VLOOKUP("industry|NOx|Infant mortality", US_national_yearly!$D:$AM, 10, FALSE), 1)</f>
        <v>9.3207085916323974E-8</v>
      </c>
      <c r="AA3" s="7">
        <f>$B3 * IFERROR(VLOOKUP("industry|NOx|Infant mortality", US_national_yearly!$D:$AM, 35, FALSE) / VLOOKUP("industry|NOx|Infant mortality", US_national_yearly!$D:$AM, 10, FALSE), 1)</f>
        <v>9.2574615811071965E-8</v>
      </c>
      <c r="AB3" s="7">
        <f>$B3 * IFERROR(VLOOKUP("industry|NOx|Infant mortality", US_national_yearly!$D:$AM, 36, FALSE) / VLOOKUP("industry|NOx|Infant mortality", US_national_yearly!$D:$AM, 10, FALSE), 1)</f>
        <v>9.1942145705819942E-8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3.6166918583950645E-4</v>
      </c>
      <c r="C6" s="7">
        <f>$B6 * IFERROR(VLOOKUP("industry|NOx|Asthma symptoms cough", US_national_yearly!$D:$AM, 11, FALSE) / VLOOKUP("industry|NOx|Asthma symptoms cough", US_national_yearly!$D:$AM, 10, FALSE), 1)</f>
        <v>3.6661694302266831E-4</v>
      </c>
      <c r="D6" s="7">
        <f>$B6 * IFERROR(VLOOKUP("industry|NOx|Asthma symptoms cough", US_national_yearly!$D:$AM, 12, FALSE) / VLOOKUP("industry|NOx|Asthma symptoms cough", US_national_yearly!$D:$AM, 10, FALSE), 1)</f>
        <v>3.7156470020583018E-4</v>
      </c>
      <c r="E6" s="7">
        <f>$B6 * IFERROR(VLOOKUP("industry|NOx|Asthma symptoms cough", US_national_yearly!$D:$AM, 13, FALSE) / VLOOKUP("industry|NOx|Asthma symptoms cough", US_national_yearly!$D:$AM, 10, FALSE), 1)</f>
        <v>3.7651245738899209E-4</v>
      </c>
      <c r="F6" s="7">
        <f>$B6 * IFERROR(VLOOKUP("industry|NOx|Asthma symptoms cough", US_national_yearly!$D:$AM, 14, FALSE) / VLOOKUP("industry|NOx|Asthma symptoms cough", US_national_yearly!$D:$AM, 10, FALSE), 1)</f>
        <v>3.8146021457215396E-4</v>
      </c>
      <c r="G6" s="7">
        <f>$B6 * IFERROR(VLOOKUP("industry|NOx|Asthma symptoms cough", US_national_yearly!$D:$AM, 15, FALSE) / VLOOKUP("industry|NOx|Asthma symptoms cough", US_national_yearly!$D:$AM, 10, FALSE), 1)</f>
        <v>3.8542754825062408E-4</v>
      </c>
      <c r="H6" s="7">
        <f>$B6 * IFERROR(VLOOKUP("industry|NOx|Asthma symptoms cough", US_national_yearly!$D:$AM, 16, FALSE) / VLOOKUP("industry|NOx|Asthma symptoms cough", US_national_yearly!$D:$AM, 10, FALSE), 1)</f>
        <v>3.8939488192909425E-4</v>
      </c>
      <c r="I6" s="7">
        <f>$B6 * IFERROR(VLOOKUP("industry|NOx|Asthma symptoms cough", US_national_yearly!$D:$AM, 17, FALSE) / VLOOKUP("industry|NOx|Asthma symptoms cough", US_national_yearly!$D:$AM, 10, FALSE), 1)</f>
        <v>3.9077554921988024E-4</v>
      </c>
      <c r="J6" s="7">
        <f>$B6 * IFERROR(VLOOKUP("industry|NOx|Asthma symptoms cough", US_national_yearly!$D:$AM, 18, FALSE) / VLOOKUP("industry|NOx|Asthma symptoms cough", US_national_yearly!$D:$AM, 10, FALSE), 1)</f>
        <v>3.9215621651066639E-4</v>
      </c>
      <c r="K6" s="7">
        <f>$B6 * IFERROR(VLOOKUP("industry|NOx|Asthma symptoms cough", US_national_yearly!$D:$AM, 19, FALSE) / VLOOKUP("industry|NOx|Asthma symptoms cough", US_national_yearly!$D:$AM, 10, FALSE), 1)</f>
        <v>3.9353688380145237E-4</v>
      </c>
      <c r="L6" s="7">
        <f>$B6 * IFERROR(VLOOKUP("industry|NOx|Asthma symptoms cough", US_national_yearly!$D:$AM, 20, FALSE) / VLOOKUP("industry|NOx|Asthma symptoms cough", US_national_yearly!$D:$AM, 10, FALSE), 1)</f>
        <v>3.9491755109223847E-4</v>
      </c>
      <c r="M6" s="7">
        <f>$B6 * IFERROR(VLOOKUP("industry|NOx|Asthma symptoms cough", US_national_yearly!$D:$AM, 21, FALSE) / VLOOKUP("industry|NOx|Asthma symptoms cough", US_national_yearly!$D:$AM, 10, FALSE), 1)</f>
        <v>3.9629821838302456E-4</v>
      </c>
      <c r="N6" s="7">
        <f>$B6 * IFERROR(VLOOKUP("industry|NOx|Asthma symptoms cough", US_national_yearly!$D:$AM, 22, FALSE) / VLOOKUP("industry|NOx|Asthma symptoms cough", US_national_yearly!$D:$AM, 10, FALSE), 1)</f>
        <v>3.9787428778584154E-4</v>
      </c>
      <c r="O6" s="7">
        <f>$B6 * IFERROR(VLOOKUP("industry|NOx|Asthma symptoms cough", US_national_yearly!$D:$AM, 23, FALSE) / VLOOKUP("industry|NOx|Asthma symptoms cough", US_national_yearly!$D:$AM, 10, FALSE), 1)</f>
        <v>3.9945035718865835E-4</v>
      </c>
      <c r="P6" s="7">
        <f>$B6 * IFERROR(VLOOKUP("industry|NOx|Asthma symptoms cough", US_national_yearly!$D:$AM, 24, FALSE) / VLOOKUP("industry|NOx|Asthma symptoms cough", US_national_yearly!$D:$AM, 10, FALSE), 1)</f>
        <v>4.0102642659147533E-4</v>
      </c>
      <c r="Q6" s="7">
        <f>$B6 * IFERROR(VLOOKUP("industry|NOx|Asthma symptoms cough", US_national_yearly!$D:$AM, 25, FALSE) / VLOOKUP("industry|NOx|Asthma symptoms cough", US_national_yearly!$D:$AM, 10, FALSE), 1)</f>
        <v>4.0260249599429225E-4</v>
      </c>
      <c r="R6" s="7">
        <f>$B6 * IFERROR(VLOOKUP("industry|NOx|Asthma symptoms cough", US_national_yearly!$D:$AM, 26, FALSE) / VLOOKUP("industry|NOx|Asthma symptoms cough", US_national_yearly!$D:$AM, 10, FALSE), 1)</f>
        <v>4.0417856539710917E-4</v>
      </c>
      <c r="S6" s="7">
        <f>$B6 * IFERROR(VLOOKUP("industry|NOx|Asthma symptoms cough", US_national_yearly!$D:$AM, 27, FALSE) / VLOOKUP("industry|NOx|Asthma symptoms cough", US_national_yearly!$D:$AM, 10, FALSE), 1)</f>
        <v>4.0621162519196121E-4</v>
      </c>
      <c r="T6" s="7">
        <f>$B6 * IFERROR(VLOOKUP("industry|NOx|Asthma symptoms cough", US_national_yearly!$D:$AM, 28, FALSE) / VLOOKUP("industry|NOx|Asthma symptoms cough", US_national_yearly!$D:$AM, 10, FALSE), 1)</f>
        <v>4.0824468498681319E-4</v>
      </c>
      <c r="U6" s="7">
        <f>$B6 * IFERROR(VLOOKUP("industry|NOx|Asthma symptoms cough", US_national_yearly!$D:$AM, 29, FALSE) / VLOOKUP("industry|NOx|Asthma symptoms cough", US_national_yearly!$D:$AM, 10, FALSE), 1)</f>
        <v>4.1027774478166523E-4</v>
      </c>
      <c r="V6" s="7">
        <f>$B6 * IFERROR(VLOOKUP("industry|NOx|Asthma symptoms cough", US_national_yearly!$D:$AM, 30, FALSE) / VLOOKUP("industry|NOx|Asthma symptoms cough", US_national_yearly!$D:$AM, 10, FALSE), 1)</f>
        <v>4.1231080457651716E-4</v>
      </c>
      <c r="W6" s="7">
        <f>$B6 * IFERROR(VLOOKUP("industry|NOx|Asthma symptoms cough", US_national_yearly!$D:$AM, 31, FALSE) / VLOOKUP("industry|NOx|Asthma symptoms cough", US_national_yearly!$D:$AM, 10, FALSE), 1)</f>
        <v>4.1434386437136931E-4</v>
      </c>
      <c r="X6" s="7">
        <f>$B6 * IFERROR(VLOOKUP("industry|NOx|Asthma symptoms cough", US_national_yearly!$D:$AM, 32, FALSE) / VLOOKUP("industry|NOx|Asthma symptoms cough", US_national_yearly!$D:$AM, 10, FALSE), 1)</f>
        <v>4.1622866714068459E-4</v>
      </c>
      <c r="Y6" s="7">
        <f>$B6 * IFERROR(VLOOKUP("industry|NOx|Asthma symptoms cough", US_national_yearly!$D:$AM, 33, FALSE) / VLOOKUP("industry|NOx|Asthma symptoms cough", US_national_yearly!$D:$AM, 10, FALSE), 1)</f>
        <v>4.1811346990999981E-4</v>
      </c>
      <c r="Z6" s="7">
        <f>$B6 * IFERROR(VLOOKUP("industry|NOx|Asthma symptoms cough", US_national_yearly!$D:$AM, 34, FALSE) / VLOOKUP("industry|NOx|Asthma symptoms cough", US_national_yearly!$D:$AM, 10, FALSE), 1)</f>
        <v>4.1999827267931509E-4</v>
      </c>
      <c r="AA6" s="7">
        <f>$B6 * IFERROR(VLOOKUP("industry|NOx|Asthma symptoms cough", US_national_yearly!$D:$AM, 35, FALSE) / VLOOKUP("industry|NOx|Asthma symptoms cough", US_national_yearly!$D:$AM, 10, FALSE), 1)</f>
        <v>4.2188307544863032E-4</v>
      </c>
      <c r="AB6" s="7">
        <f>$B6 * IFERROR(VLOOKUP("industry|NOx|Asthma symptoms cough", US_national_yearly!$D:$AM, 36, FALSE) / VLOOKUP("industry|NOx|Asthma symptoms cough", US_national_yearly!$D:$AM, 10, FALSE), 1)</f>
        <v>4.2376787821794566E-4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4.8703946530589661E-4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4.9370233043843123E-4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5.003651955709659E-4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5.0702806070350057E-4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5.1369092583603525E-4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5.1903351000399261E-4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5.2437609417195019E-4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5.2623536080715076E-4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5.2809462744235133E-4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5.299538940775519E-4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5.318131607127528E-4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5.3367242734795337E-4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5.3579483097344069E-4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5.3791723459892802E-4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5.4003963822441545E-4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5.4216204184990289E-4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5.4428444547539011E-4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5.4702225225568139E-4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5.4976005903597277E-4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5.5249786581626405E-4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5.5523567259655533E-4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5.5797347937684651E-4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5.60511636792697E-4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5.6304979420854727E-4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5.6558795162439765E-4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5.6812610904024793E-4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5.7066426645609831E-4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7.4411580657431282E-4</v>
      </c>
      <c r="C8" s="7">
        <f>$B8 * IFERROR(VLOOKUP("industry|NOx|Asthma symptoms wheeze", US_national_yearly!$D:$AM, 11, FALSE) / VLOOKUP("industry|NOx|Asthma symptoms wheeze", US_national_yearly!$D:$AM, 10, FALSE), 1)</f>
        <v>7.5429556330703208E-4</v>
      </c>
      <c r="D8" s="7">
        <f>$B8 * IFERROR(VLOOKUP("industry|NOx|Asthma symptoms wheeze", US_national_yearly!$D:$AM, 12, FALSE) / VLOOKUP("industry|NOx|Asthma symptoms wheeze", US_national_yearly!$D:$AM, 10, FALSE), 1)</f>
        <v>7.6447532003975146E-4</v>
      </c>
      <c r="E8" s="7">
        <f>$B8 * IFERROR(VLOOKUP("industry|NOx|Asthma symptoms wheeze", US_national_yearly!$D:$AM, 13, FALSE) / VLOOKUP("industry|NOx|Asthma symptoms wheeze", US_national_yearly!$D:$AM, 10, FALSE), 1)</f>
        <v>7.7465507677247072E-4</v>
      </c>
      <c r="F8" s="7">
        <f>$B8 * IFERROR(VLOOKUP("industry|NOx|Asthma symptoms wheeze", US_national_yearly!$D:$AM, 14, FALSE) / VLOOKUP("industry|NOx|Asthma symptoms wheeze", US_national_yearly!$D:$AM, 10, FALSE), 1)</f>
        <v>7.8483483350518988E-4</v>
      </c>
      <c r="G8" s="7">
        <f>$B8 * IFERROR(VLOOKUP("industry|NOx|Asthma symptoms wheeze", US_national_yearly!$D:$AM, 15, FALSE) / VLOOKUP("industry|NOx|Asthma symptoms wheeze", US_national_yearly!$D:$AM, 10, FALSE), 1)</f>
        <v>7.9299741914541091E-4</v>
      </c>
      <c r="H8" s="7">
        <f>$B8 * IFERROR(VLOOKUP("industry|NOx|Asthma symptoms wheeze", US_national_yearly!$D:$AM, 16, FALSE) / VLOOKUP("industry|NOx|Asthma symptoms wheeze", US_national_yearly!$D:$AM, 10, FALSE), 1)</f>
        <v>8.0116000478563161E-4</v>
      </c>
      <c r="I8" s="7">
        <f>$B8 * IFERROR(VLOOKUP("industry|NOx|Asthma symptoms wheeze", US_national_yearly!$D:$AM, 17, FALSE) / VLOOKUP("industry|NOx|Asthma symptoms wheeze", US_national_yearly!$D:$AM, 10, FALSE), 1)</f>
        <v>8.0400065695268445E-4</v>
      </c>
      <c r="J8" s="7">
        <f>$B8 * IFERROR(VLOOKUP("industry|NOx|Asthma symptoms wheeze", US_national_yearly!$D:$AM, 18, FALSE) / VLOOKUP("industry|NOx|Asthma symptoms wheeze", US_national_yearly!$D:$AM, 10, FALSE), 1)</f>
        <v>8.0684130911973717E-4</v>
      </c>
      <c r="K8" s="7">
        <f>$B8 * IFERROR(VLOOKUP("industry|NOx|Asthma symptoms wheeze", US_national_yearly!$D:$AM, 19, FALSE) / VLOOKUP("industry|NOx|Asthma symptoms wheeze", US_national_yearly!$D:$AM, 10, FALSE), 1)</f>
        <v>8.0968196128679E-4</v>
      </c>
      <c r="L8" s="7">
        <f>$B8 * IFERROR(VLOOKUP("industry|NOx|Asthma symptoms wheeze", US_national_yearly!$D:$AM, 20, FALSE) / VLOOKUP("industry|NOx|Asthma symptoms wheeze", US_national_yearly!$D:$AM, 10, FALSE), 1)</f>
        <v>8.125226134538425E-4</v>
      </c>
      <c r="M8" s="7">
        <f>$B8 * IFERROR(VLOOKUP("industry|NOx|Asthma symptoms wheeze", US_national_yearly!$D:$AM, 21, FALSE) / VLOOKUP("industry|NOx|Asthma symptoms wheeze", US_national_yearly!$D:$AM, 10, FALSE), 1)</f>
        <v>8.1536326562089533E-4</v>
      </c>
      <c r="N8" s="7">
        <f>$B8 * IFERROR(VLOOKUP("industry|NOx|Asthma symptoms wheeze", US_national_yearly!$D:$AM, 22, FALSE) / VLOOKUP("industry|NOx|Asthma symptoms wheeze", US_national_yearly!$D:$AM, 10, FALSE), 1)</f>
        <v>8.1860594761494314E-4</v>
      </c>
      <c r="O8" s="7">
        <f>$B8 * IFERROR(VLOOKUP("industry|NOx|Asthma symptoms wheeze", US_national_yearly!$D:$AM, 23, FALSE) / VLOOKUP("industry|NOx|Asthma symptoms wheeze", US_national_yearly!$D:$AM, 10, FALSE), 1)</f>
        <v>8.2184862960899094E-4</v>
      </c>
      <c r="P8" s="7">
        <f>$B8 * IFERROR(VLOOKUP("industry|NOx|Asthma symptoms wheeze", US_national_yearly!$D:$AM, 24, FALSE) / VLOOKUP("industry|NOx|Asthma symptoms wheeze", US_national_yearly!$D:$AM, 10, FALSE), 1)</f>
        <v>8.2509131160303853E-4</v>
      </c>
      <c r="Q8" s="7">
        <f>$B8 * IFERROR(VLOOKUP("industry|NOx|Asthma symptoms wheeze", US_national_yearly!$D:$AM, 25, FALSE) / VLOOKUP("industry|NOx|Asthma symptoms wheeze", US_national_yearly!$D:$AM, 10, FALSE), 1)</f>
        <v>8.2833399359708633E-4</v>
      </c>
      <c r="R8" s="7">
        <f>$B8 * IFERROR(VLOOKUP("industry|NOx|Asthma symptoms wheeze", US_national_yearly!$D:$AM, 26, FALSE) / VLOOKUP("industry|NOx|Asthma symptoms wheeze", US_national_yearly!$D:$AM, 10, FALSE), 1)</f>
        <v>8.3157667559113414E-4</v>
      </c>
      <c r="S8" s="7">
        <f>$B8 * IFERROR(VLOOKUP("industry|NOx|Asthma symptoms wheeze", US_national_yearly!$D:$AM, 27, FALSE) / VLOOKUP("industry|NOx|Asthma symptoms wheeze", US_national_yearly!$D:$AM, 10, FALSE), 1)</f>
        <v>8.357595918863206E-4</v>
      </c>
      <c r="T8" s="7">
        <f>$B8 * IFERROR(VLOOKUP("industry|NOx|Asthma symptoms wheeze", US_national_yearly!$D:$AM, 28, FALSE) / VLOOKUP("industry|NOx|Asthma symptoms wheeze", US_national_yearly!$D:$AM, 10, FALSE), 1)</f>
        <v>8.3994250818150685E-4</v>
      </c>
      <c r="U8" s="7">
        <f>$B8 * IFERROR(VLOOKUP("industry|NOx|Asthma symptoms wheeze", US_national_yearly!$D:$AM, 29, FALSE) / VLOOKUP("industry|NOx|Asthma symptoms wheeze", US_national_yearly!$D:$AM, 10, FALSE), 1)</f>
        <v>8.4412542447669309E-4</v>
      </c>
      <c r="V8" s="7">
        <f>$B8 * IFERROR(VLOOKUP("industry|NOx|Asthma symptoms wheeze", US_national_yearly!$D:$AM, 30, FALSE) / VLOOKUP("industry|NOx|Asthma symptoms wheeze", US_national_yearly!$D:$AM, 10, FALSE), 1)</f>
        <v>8.4830834077187934E-4</v>
      </c>
      <c r="W8" s="7">
        <f>$B8 * IFERROR(VLOOKUP("industry|NOx|Asthma symptoms wheeze", US_national_yearly!$D:$AM, 31, FALSE) / VLOOKUP("industry|NOx|Asthma symptoms wheeze", US_national_yearly!$D:$AM, 10, FALSE), 1)</f>
        <v>8.5249125706706548E-4</v>
      </c>
      <c r="X8" s="7">
        <f>$B8 * IFERROR(VLOOKUP("industry|NOx|Asthma symptoms wheeze", US_national_yearly!$D:$AM, 32, FALSE) / VLOOKUP("industry|NOx|Asthma symptoms wheeze", US_national_yearly!$D:$AM, 10, FALSE), 1)</f>
        <v>8.5636914213312368E-4</v>
      </c>
      <c r="Y8" s="7">
        <f>$B8 * IFERROR(VLOOKUP("industry|NOx|Asthma symptoms wheeze", US_national_yearly!$D:$AM, 33, FALSE) / VLOOKUP("industry|NOx|Asthma symptoms wheeze", US_national_yearly!$D:$AM, 10, FALSE), 1)</f>
        <v>8.6024702719918178E-4</v>
      </c>
      <c r="Z8" s="7">
        <f>$B8 * IFERROR(VLOOKUP("industry|NOx|Asthma symptoms wheeze", US_national_yearly!$D:$AM, 34, FALSE) / VLOOKUP("industry|NOx|Asthma symptoms wheeze", US_national_yearly!$D:$AM, 10, FALSE), 1)</f>
        <v>8.6412491226523977E-4</v>
      </c>
      <c r="AA8" s="7">
        <f>$B8 * IFERROR(VLOOKUP("industry|NOx|Asthma symptoms wheeze", US_national_yearly!$D:$AM, 35, FALSE) / VLOOKUP("industry|NOx|Asthma symptoms wheeze", US_national_yearly!$D:$AM, 10, FALSE), 1)</f>
        <v>8.6800279733129765E-4</v>
      </c>
      <c r="AB8" s="7">
        <f>$B8 * IFERROR(VLOOKUP("industry|NOx|Asthma symptoms wheeze", US_national_yearly!$D:$AM, 36, FALSE) / VLOOKUP("industry|NOx|Asthma symptoms wheeze", US_national_yearly!$D:$AM, 10, FALSE), 1)</f>
        <v>8.7188068239735629E-4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3.9599226976726708E-6</v>
      </c>
      <c r="C12" s="7">
        <f>$B12 * IFERROR(VLOOKUP("industry|NOx|Respiratory hospital admissions", US_national_yearly!$D:$AM, 11, FALSE) / VLOOKUP("industry|NOx|Respiratory hospital admissions", US_national_yearly!$D:$AM, 10, FALSE), 1)</f>
        <v>4.0594090751169478E-6</v>
      </c>
      <c r="D12" s="7">
        <f>$B12 * IFERROR(VLOOKUP("industry|NOx|Respiratory hospital admissions", US_national_yearly!$D:$AM, 12, FALSE) / VLOOKUP("industry|NOx|Respiratory hospital admissions", US_national_yearly!$D:$AM, 10, FALSE), 1)</f>
        <v>4.1588954525612247E-6</v>
      </c>
      <c r="E12" s="7">
        <f>$B12 * IFERROR(VLOOKUP("industry|NOx|Respiratory hospital admissions", US_national_yearly!$D:$AM, 13, FALSE) / VLOOKUP("industry|NOx|Respiratory hospital admissions", US_national_yearly!$D:$AM, 10, FALSE), 1)</f>
        <v>4.2583818300055024E-6</v>
      </c>
      <c r="F12" s="7">
        <f>$B12 * IFERROR(VLOOKUP("industry|NOx|Respiratory hospital admissions", US_national_yearly!$D:$AM, 14, FALSE) / VLOOKUP("industry|NOx|Respiratory hospital admissions", US_national_yearly!$D:$AM, 10, FALSE), 1)</f>
        <v>4.3578682074497785E-6</v>
      </c>
      <c r="G12" s="7">
        <f>$B12 * IFERROR(VLOOKUP("industry|NOx|Respiratory hospital admissions", US_national_yearly!$D:$AM, 15, FALSE) / VLOOKUP("industry|NOx|Respiratory hospital admissions", US_national_yearly!$D:$AM, 10, FALSE), 1)</f>
        <v>4.4530313513604467E-6</v>
      </c>
      <c r="H12" s="7">
        <f>$B12 * IFERROR(VLOOKUP("industry|NOx|Respiratory hospital admissions", US_national_yearly!$D:$AM, 16, FALSE) / VLOOKUP("industry|NOx|Respiratory hospital admissions", US_national_yearly!$D:$AM, 10, FALSE), 1)</f>
        <v>4.548194495271114E-6</v>
      </c>
      <c r="I12" s="7">
        <f>$B12 * IFERROR(VLOOKUP("industry|NOx|Respiratory hospital admissions", US_national_yearly!$D:$AM, 17, FALSE) / VLOOKUP("industry|NOx|Respiratory hospital admissions", US_national_yearly!$D:$AM, 10, FALSE), 1)</f>
        <v>4.6292388347160492E-6</v>
      </c>
      <c r="J12" s="7">
        <f>$B12 * IFERROR(VLOOKUP("industry|NOx|Respiratory hospital admissions", US_national_yearly!$D:$AM, 18, FALSE) / VLOOKUP("industry|NOx|Respiratory hospital admissions", US_national_yearly!$D:$AM, 10, FALSE), 1)</f>
        <v>4.7102831741609835E-6</v>
      </c>
      <c r="K12" s="7">
        <f>$B12 * IFERROR(VLOOKUP("industry|NOx|Respiratory hospital admissions", US_national_yearly!$D:$AM, 19, FALSE) / VLOOKUP("industry|NOx|Respiratory hospital admissions", US_national_yearly!$D:$AM, 10, FALSE), 1)</f>
        <v>4.7913275136059194E-6</v>
      </c>
      <c r="L12" s="7">
        <f>$B12 * IFERROR(VLOOKUP("industry|NOx|Respiratory hospital admissions", US_national_yearly!$D:$AM, 20, FALSE) / VLOOKUP("industry|NOx|Respiratory hospital admissions", US_national_yearly!$D:$AM, 10, FALSE), 1)</f>
        <v>4.8723718530508546E-6</v>
      </c>
      <c r="M12" s="7">
        <f>$B12 * IFERROR(VLOOKUP("industry|NOx|Respiratory hospital admissions", US_national_yearly!$D:$AM, 21, FALSE) / VLOOKUP("industry|NOx|Respiratory hospital admissions", US_national_yearly!$D:$AM, 10, FALSE), 1)</f>
        <v>4.9534161924957889E-6</v>
      </c>
      <c r="N12" s="7">
        <f>$B12 * IFERROR(VLOOKUP("industry|NOx|Respiratory hospital admissions", US_national_yearly!$D:$AM, 22, FALSE) / VLOOKUP("industry|NOx|Respiratory hospital admissions", US_national_yearly!$D:$AM, 10, FALSE), 1)</f>
        <v>5.0077334856394241E-6</v>
      </c>
      <c r="O12" s="7">
        <f>$B12 * IFERROR(VLOOKUP("industry|NOx|Respiratory hospital admissions", US_national_yearly!$D:$AM, 23, FALSE) / VLOOKUP("industry|NOx|Respiratory hospital admissions", US_national_yearly!$D:$AM, 10, FALSE), 1)</f>
        <v>5.0620507787830584E-6</v>
      </c>
      <c r="P12" s="7">
        <f>$B12 * IFERROR(VLOOKUP("industry|NOx|Respiratory hospital admissions", US_national_yearly!$D:$AM, 24, FALSE) / VLOOKUP("industry|NOx|Respiratory hospital admissions", US_national_yearly!$D:$AM, 10, FALSE), 1)</f>
        <v>5.1163680719266927E-6</v>
      </c>
      <c r="Q12" s="7">
        <f>$B12 * IFERROR(VLOOKUP("industry|NOx|Respiratory hospital admissions", US_national_yearly!$D:$AM, 25, FALSE) / VLOOKUP("industry|NOx|Respiratory hospital admissions", US_national_yearly!$D:$AM, 10, FALSE), 1)</f>
        <v>5.1706853650703271E-6</v>
      </c>
      <c r="R12" s="7">
        <f>$B12 * IFERROR(VLOOKUP("industry|NOx|Respiratory hospital admissions", US_national_yearly!$D:$AM, 26, FALSE) / VLOOKUP("industry|NOx|Respiratory hospital admissions", US_national_yearly!$D:$AM, 10, FALSE), 1)</f>
        <v>5.2250026582139623E-6</v>
      </c>
      <c r="S12" s="7">
        <f>$B12 * IFERROR(VLOOKUP("industry|NOx|Respiratory hospital admissions", US_national_yearly!$D:$AM, 27, FALSE) / VLOOKUP("industry|NOx|Respiratory hospital admissions", US_national_yearly!$D:$AM, 10, FALSE), 1)</f>
        <v>5.2544922289180097E-6</v>
      </c>
      <c r="T12" s="7">
        <f>$B12 * IFERROR(VLOOKUP("industry|NOx|Respiratory hospital admissions", US_national_yearly!$D:$AM, 28, FALSE) / VLOOKUP("industry|NOx|Respiratory hospital admissions", US_national_yearly!$D:$AM, 10, FALSE), 1)</f>
        <v>5.2839817996220579E-6</v>
      </c>
      <c r="U12" s="7">
        <f>$B12 * IFERROR(VLOOKUP("industry|NOx|Respiratory hospital admissions", US_national_yearly!$D:$AM, 29, FALSE) / VLOOKUP("industry|NOx|Respiratory hospital admissions", US_national_yearly!$D:$AM, 10, FALSE), 1)</f>
        <v>5.3134713703261053E-6</v>
      </c>
      <c r="V12" s="7">
        <f>$B12 * IFERROR(VLOOKUP("industry|NOx|Respiratory hospital admissions", US_national_yearly!$D:$AM, 30, FALSE) / VLOOKUP("industry|NOx|Respiratory hospital admissions", US_national_yearly!$D:$AM, 10, FALSE), 1)</f>
        <v>5.3429609410301527E-6</v>
      </c>
      <c r="W12" s="7">
        <f>$B12 * IFERROR(VLOOKUP("industry|NOx|Respiratory hospital admissions", US_national_yearly!$D:$AM, 31, FALSE) / VLOOKUP("industry|NOx|Respiratory hospital admissions", US_national_yearly!$D:$AM, 10, FALSE), 1)</f>
        <v>5.3724505117342018E-6</v>
      </c>
      <c r="X12" s="7">
        <f>$B12 * IFERROR(VLOOKUP("industry|NOx|Respiratory hospital admissions", US_national_yearly!$D:$AM, 32, FALSE) / VLOOKUP("industry|NOx|Respiratory hospital admissions", US_national_yearly!$D:$AM, 10, FALSE), 1)</f>
        <v>5.3930124570213999E-6</v>
      </c>
      <c r="Y12" s="7">
        <f>$B12 * IFERROR(VLOOKUP("industry|NOx|Respiratory hospital admissions", US_national_yearly!$D:$AM, 33, FALSE) / VLOOKUP("industry|NOx|Respiratory hospital admissions", US_national_yearly!$D:$AM, 10, FALSE), 1)</f>
        <v>5.4135744023085981E-6</v>
      </c>
      <c r="Z12" s="7">
        <f>$B12 * IFERROR(VLOOKUP("industry|NOx|Respiratory hospital admissions", US_national_yearly!$D:$AM, 34, FALSE) / VLOOKUP("industry|NOx|Respiratory hospital admissions", US_national_yearly!$D:$AM, 10, FALSE), 1)</f>
        <v>5.4341363475957971E-6</v>
      </c>
      <c r="AA12" s="7">
        <f>$B12 * IFERROR(VLOOKUP("industry|NOx|Respiratory hospital admissions", US_national_yearly!$D:$AM, 35, FALSE) / VLOOKUP("industry|NOx|Respiratory hospital admissions", US_national_yearly!$D:$AM, 10, FALSE), 1)</f>
        <v>5.4546982928829952E-6</v>
      </c>
      <c r="AB12" s="7">
        <f>$B12 * IFERROR(VLOOKUP("industry|NOx|Respiratory hospital admissions", US_national_yearly!$D:$AM, 36, FALSE) / VLOOKUP("industry|NOx|Respiratory hospital admissions", US_national_yearly!$D:$AM, 10, FALSE), 1)</f>
        <v>5.4752602381701942E-6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2.7662957442365035E-5</v>
      </c>
      <c r="C13" s="7">
        <f>$B13 * IFERROR(VLOOKUP("industry|NOx|Non-fatal heart attacks", US_national_yearly!$D:$AM, 11, FALSE) / VLOOKUP("industry|NOx|Non-fatal heart attacks", US_national_yearly!$D:$AM, 10, FALSE), 1)</f>
        <v>2.8453314645353687E-5</v>
      </c>
      <c r="D13" s="7">
        <f>$B13 * IFERROR(VLOOKUP("industry|NOx|Non-fatal heart attacks", US_national_yearly!$D:$AM, 12, FALSE) / VLOOKUP("industry|NOx|Non-fatal heart attacks", US_national_yearly!$D:$AM, 10, FALSE), 1)</f>
        <v>2.9243671848342338E-5</v>
      </c>
      <c r="E13" s="7">
        <f>$B13 * IFERROR(VLOOKUP("industry|NOx|Non-fatal heart attacks", US_national_yearly!$D:$AM, 13, FALSE) / VLOOKUP("industry|NOx|Non-fatal heart attacks", US_national_yearly!$D:$AM, 10, FALSE), 1)</f>
        <v>3.0034029051330993E-5</v>
      </c>
      <c r="F13" s="7">
        <f>$B13 * IFERROR(VLOOKUP("industry|NOx|Non-fatal heart attacks", US_national_yearly!$D:$AM, 14, FALSE) / VLOOKUP("industry|NOx|Non-fatal heart attacks", US_national_yearly!$D:$AM, 10, FALSE), 1)</f>
        <v>3.0824386254319641E-5</v>
      </c>
      <c r="G13" s="7">
        <f>$B13 * IFERROR(VLOOKUP("industry|NOx|Non-fatal heart attacks", US_national_yearly!$D:$AM, 15, FALSE) / VLOOKUP("industry|NOx|Non-fatal heart attacks", US_national_yearly!$D:$AM, 10, FALSE), 1)</f>
        <v>3.1563600474296828E-5</v>
      </c>
      <c r="H13" s="7">
        <f>$B13 * IFERROR(VLOOKUP("industry|NOx|Non-fatal heart attacks", US_national_yearly!$D:$AM, 16, FALSE) / VLOOKUP("industry|NOx|Non-fatal heart attacks", US_national_yearly!$D:$AM, 10, FALSE), 1)</f>
        <v>3.2302814694274001E-5</v>
      </c>
      <c r="I13" s="7">
        <f>$B13 * IFERROR(VLOOKUP("industry|NOx|Non-fatal heart attacks", US_national_yearly!$D:$AM, 17, FALSE) / VLOOKUP("industry|NOx|Non-fatal heart attacks", US_national_yearly!$D:$AM, 10, FALSE), 1)</f>
        <v>3.2887455436693599E-5</v>
      </c>
      <c r="J13" s="7">
        <f>$B13 * IFERROR(VLOOKUP("industry|NOx|Non-fatal heart attacks", US_national_yearly!$D:$AM, 18, FALSE) / VLOOKUP("industry|NOx|Non-fatal heart attacks", US_national_yearly!$D:$AM, 10, FALSE), 1)</f>
        <v>3.3472096179113197E-5</v>
      </c>
      <c r="K13" s="7">
        <f>$B13 * IFERROR(VLOOKUP("industry|NOx|Non-fatal heart attacks", US_national_yearly!$D:$AM, 19, FALSE) / VLOOKUP("industry|NOx|Non-fatal heart attacks", US_national_yearly!$D:$AM, 10, FALSE), 1)</f>
        <v>3.4056736921532789E-5</v>
      </c>
      <c r="L13" s="7">
        <f>$B13 * IFERROR(VLOOKUP("industry|NOx|Non-fatal heart attacks", US_national_yearly!$D:$AM, 20, FALSE) / VLOOKUP("industry|NOx|Non-fatal heart attacks", US_national_yearly!$D:$AM, 10, FALSE), 1)</f>
        <v>3.46413776639524E-5</v>
      </c>
      <c r="M13" s="7">
        <f>$B13 * IFERROR(VLOOKUP("industry|NOx|Non-fatal heart attacks", US_national_yearly!$D:$AM, 21, FALSE) / VLOOKUP("industry|NOx|Non-fatal heart attacks", US_national_yearly!$D:$AM, 10, FALSE), 1)</f>
        <v>3.5226018406372005E-5</v>
      </c>
      <c r="N13" s="7">
        <f>$B13 * IFERROR(VLOOKUP("industry|NOx|Non-fatal heart attacks", US_national_yearly!$D:$AM, 22, FALSE) / VLOOKUP("industry|NOx|Non-fatal heart attacks", US_national_yearly!$D:$AM, 10, FALSE), 1)</f>
        <v>3.5578236393603217E-5</v>
      </c>
      <c r="O13" s="7">
        <f>$B13 * IFERROR(VLOOKUP("industry|NOx|Non-fatal heart attacks", US_national_yearly!$D:$AM, 23, FALSE) / VLOOKUP("industry|NOx|Non-fatal heart attacks", US_national_yearly!$D:$AM, 10, FALSE), 1)</f>
        <v>3.5930454380834421E-5</v>
      </c>
      <c r="P13" s="7">
        <f>$B13 * IFERROR(VLOOKUP("industry|NOx|Non-fatal heart attacks", US_national_yearly!$D:$AM, 24, FALSE) / VLOOKUP("industry|NOx|Non-fatal heart attacks", US_national_yearly!$D:$AM, 10, FALSE), 1)</f>
        <v>3.6282672368065625E-5</v>
      </c>
      <c r="Q13" s="7">
        <f>$B13 * IFERROR(VLOOKUP("industry|NOx|Non-fatal heart attacks", US_national_yearly!$D:$AM, 25, FALSE) / VLOOKUP("industry|NOx|Non-fatal heart attacks", US_national_yearly!$D:$AM, 10, FALSE), 1)</f>
        <v>3.6634890355296836E-5</v>
      </c>
      <c r="R13" s="7">
        <f>$B13 * IFERROR(VLOOKUP("industry|NOx|Non-fatal heart attacks", US_national_yearly!$D:$AM, 26, FALSE) / VLOOKUP("industry|NOx|Non-fatal heart attacks", US_national_yearly!$D:$AM, 10, FALSE), 1)</f>
        <v>3.6987108342528041E-5</v>
      </c>
      <c r="S13" s="7">
        <f>$B13 * IFERROR(VLOOKUP("industry|NOx|Non-fatal heart attacks", US_national_yearly!$D:$AM, 27, FALSE) / VLOOKUP("industry|NOx|Non-fatal heart attacks", US_national_yearly!$D:$AM, 10, FALSE), 1)</f>
        <v>3.7148712980556536E-5</v>
      </c>
      <c r="T13" s="7">
        <f>$B13 * IFERROR(VLOOKUP("industry|NOx|Non-fatal heart attacks", US_national_yearly!$D:$AM, 28, FALSE) / VLOOKUP("industry|NOx|Non-fatal heart attacks", US_national_yearly!$D:$AM, 10, FALSE), 1)</f>
        <v>3.7310317618585031E-5</v>
      </c>
      <c r="U13" s="7">
        <f>$B13 * IFERROR(VLOOKUP("industry|NOx|Non-fatal heart attacks", US_national_yearly!$D:$AM, 29, FALSE) / VLOOKUP("industry|NOx|Non-fatal heart attacks", US_national_yearly!$D:$AM, 10, FALSE), 1)</f>
        <v>3.7471922256613527E-5</v>
      </c>
      <c r="V13" s="7">
        <f>$B13 * IFERROR(VLOOKUP("industry|NOx|Non-fatal heart attacks", US_national_yearly!$D:$AM, 30, FALSE) / VLOOKUP("industry|NOx|Non-fatal heart attacks", US_national_yearly!$D:$AM, 10, FALSE), 1)</f>
        <v>3.7633526894642022E-5</v>
      </c>
      <c r="W13" s="7">
        <f>$B13 * IFERROR(VLOOKUP("industry|NOx|Non-fatal heart attacks", US_national_yearly!$D:$AM, 31, FALSE) / VLOOKUP("industry|NOx|Non-fatal heart attacks", US_national_yearly!$D:$AM, 10, FALSE), 1)</f>
        <v>3.7795131532670518E-5</v>
      </c>
      <c r="X13" s="7">
        <f>$B13 * IFERROR(VLOOKUP("industry|NOx|Non-fatal heart attacks", US_national_yearly!$D:$AM, 32, FALSE) / VLOOKUP("industry|NOx|Non-fatal heart attacks", US_national_yearly!$D:$AM, 10, FALSE), 1)</f>
        <v>3.7904196958806701E-5</v>
      </c>
      <c r="Y13" s="7">
        <f>$B13 * IFERROR(VLOOKUP("industry|NOx|Non-fatal heart attacks", US_national_yearly!$D:$AM, 33, FALSE) / VLOOKUP("industry|NOx|Non-fatal heart attacks", US_national_yearly!$D:$AM, 10, FALSE), 1)</f>
        <v>3.8013262384942885E-5</v>
      </c>
      <c r="Z13" s="7">
        <f>$B13 * IFERROR(VLOOKUP("industry|NOx|Non-fatal heart attacks", US_national_yearly!$D:$AM, 34, FALSE) / VLOOKUP("industry|NOx|Non-fatal heart attacks", US_national_yearly!$D:$AM, 10, FALSE), 1)</f>
        <v>3.8122327811079068E-5</v>
      </c>
      <c r="AA13" s="7">
        <f>$B13 * IFERROR(VLOOKUP("industry|NOx|Non-fatal heart attacks", US_national_yearly!$D:$AM, 35, FALSE) / VLOOKUP("industry|NOx|Non-fatal heart attacks", US_national_yearly!$D:$AM, 10, FALSE), 1)</f>
        <v>3.8231393237215252E-5</v>
      </c>
      <c r="AB13" s="7">
        <f>$B13 * IFERROR(VLOOKUP("industry|NOx|Non-fatal heart attacks", US_national_yearly!$D:$AM, 36, FALSE) / VLOOKUP("industry|NOx|Non-fatal heart attacks", US_national_yearly!$D:$AM, 10, FALSE), 1)</f>
        <v>3.8340458663351435E-5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3.4895818391862968E-2</v>
      </c>
      <c r="C14" s="7">
        <f>$B14 * IFERROR(VLOOKUP("industry|NOx|Minor restricted activity days", US_national_yearly!$D:$AM, 11, FALSE) / VLOOKUP("industry|NOx|Minor restricted activity days", US_national_yearly!$D:$AM, 10, FALSE), 1)</f>
        <v>3.4947519239529455E-2</v>
      </c>
      <c r="D14" s="7">
        <f>$B14 * IFERROR(VLOOKUP("industry|NOx|Minor restricted activity days", US_national_yearly!$D:$AM, 12, FALSE) / VLOOKUP("industry|NOx|Minor restricted activity days", US_national_yearly!$D:$AM, 10, FALSE), 1)</f>
        <v>3.4999220087195942E-2</v>
      </c>
      <c r="E14" s="7">
        <f>$B14 * IFERROR(VLOOKUP("industry|NOx|Minor restricted activity days", US_national_yearly!$D:$AM, 13, FALSE) / VLOOKUP("industry|NOx|Minor restricted activity days", US_national_yearly!$D:$AM, 10, FALSE), 1)</f>
        <v>3.505092093486243E-2</v>
      </c>
      <c r="F14" s="7">
        <f>$B14 * IFERROR(VLOOKUP("industry|NOx|Minor restricted activity days", US_national_yearly!$D:$AM, 14, FALSE) / VLOOKUP("industry|NOx|Minor restricted activity days", US_national_yearly!$D:$AM, 10, FALSE), 1)</f>
        <v>3.510262178252891E-2</v>
      </c>
      <c r="G14" s="7">
        <f>$B14 * IFERROR(VLOOKUP("industry|NOx|Minor restricted activity days", US_national_yearly!$D:$AM, 15, FALSE) / VLOOKUP("industry|NOx|Minor restricted activity days", US_national_yearly!$D:$AM, 10, FALSE), 1)</f>
        <v>3.5196738340732933E-2</v>
      </c>
      <c r="H14" s="7">
        <f>$B14 * IFERROR(VLOOKUP("industry|NOx|Minor restricted activity days", US_national_yearly!$D:$AM, 16, FALSE) / VLOOKUP("industry|NOx|Minor restricted activity days", US_national_yearly!$D:$AM, 10, FALSE), 1)</f>
        <v>3.5290854898936956E-2</v>
      </c>
      <c r="I14" s="7">
        <f>$B14 * IFERROR(VLOOKUP("industry|NOx|Minor restricted activity days", US_national_yearly!$D:$AM, 17, FALSE) / VLOOKUP("industry|NOx|Minor restricted activity days", US_national_yearly!$D:$AM, 10, FALSE), 1)</f>
        <v>3.5476136741021964E-2</v>
      </c>
      <c r="J14" s="7">
        <f>$B14 * IFERROR(VLOOKUP("industry|NOx|Minor restricted activity days", US_national_yearly!$D:$AM, 18, FALSE) / VLOOKUP("industry|NOx|Minor restricted activity days", US_national_yearly!$D:$AM, 10, FALSE), 1)</f>
        <v>3.5661418583106959E-2</v>
      </c>
      <c r="K14" s="7">
        <f>$B14 * IFERROR(VLOOKUP("industry|NOx|Minor restricted activity days", US_national_yearly!$D:$AM, 19, FALSE) / VLOOKUP("industry|NOx|Minor restricted activity days", US_national_yearly!$D:$AM, 10, FALSE), 1)</f>
        <v>3.5846700425191953E-2</v>
      </c>
      <c r="L14" s="7">
        <f>$B14 * IFERROR(VLOOKUP("industry|NOx|Minor restricted activity days", US_national_yearly!$D:$AM, 20, FALSE) / VLOOKUP("industry|NOx|Minor restricted activity days", US_national_yearly!$D:$AM, 10, FALSE), 1)</f>
        <v>3.6031982267276955E-2</v>
      </c>
      <c r="M14" s="7">
        <f>$B14 * IFERROR(VLOOKUP("industry|NOx|Minor restricted activity days", US_national_yearly!$D:$AM, 21, FALSE) / VLOOKUP("industry|NOx|Minor restricted activity days", US_national_yearly!$D:$AM, 10, FALSE), 1)</f>
        <v>3.6217264109361956E-2</v>
      </c>
      <c r="N14" s="7">
        <f>$B14 * IFERROR(VLOOKUP("industry|NOx|Minor restricted activity days", US_national_yearly!$D:$AM, 22, FALSE) / VLOOKUP("industry|NOx|Minor restricted activity days", US_national_yearly!$D:$AM, 10, FALSE), 1)</f>
        <v>3.6484082348438272E-2</v>
      </c>
      <c r="O14" s="7">
        <f>$B14 * IFERROR(VLOOKUP("industry|NOx|Minor restricted activity days", US_national_yearly!$D:$AM, 23, FALSE) / VLOOKUP("industry|NOx|Minor restricted activity days", US_national_yearly!$D:$AM, 10, FALSE), 1)</f>
        <v>3.6750900587514589E-2</v>
      </c>
      <c r="P14" s="7">
        <f>$B14 * IFERROR(VLOOKUP("industry|NOx|Minor restricted activity days", US_national_yearly!$D:$AM, 24, FALSE) / VLOOKUP("industry|NOx|Minor restricted activity days", US_national_yearly!$D:$AM, 10, FALSE), 1)</f>
        <v>3.7017718826590912E-2</v>
      </c>
      <c r="Q14" s="7">
        <f>$B14 * IFERROR(VLOOKUP("industry|NOx|Minor restricted activity days", US_national_yearly!$D:$AM, 25, FALSE) / VLOOKUP("industry|NOx|Minor restricted activity days", US_national_yearly!$D:$AM, 10, FALSE), 1)</f>
        <v>3.7284537065667221E-2</v>
      </c>
      <c r="R14" s="7">
        <f>$B14 * IFERROR(VLOOKUP("industry|NOx|Minor restricted activity days", US_national_yearly!$D:$AM, 26, FALSE) / VLOOKUP("industry|NOx|Minor restricted activity days", US_national_yearly!$D:$AM, 10, FALSE), 1)</f>
        <v>3.7551355304743544E-2</v>
      </c>
      <c r="S14" s="7">
        <f>$B14 * IFERROR(VLOOKUP("industry|NOx|Minor restricted activity days", US_national_yearly!$D:$AM, 27, FALSE) / VLOOKUP("industry|NOx|Minor restricted activity days", US_national_yearly!$D:$AM, 10, FALSE), 1)</f>
        <v>3.7818459208451588E-2</v>
      </c>
      <c r="T14" s="7">
        <f>$B14 * IFERROR(VLOOKUP("industry|NOx|Minor restricted activity days", US_national_yearly!$D:$AM, 28, FALSE) / VLOOKUP("industry|NOx|Minor restricted activity days", US_national_yearly!$D:$AM, 10, FALSE), 1)</f>
        <v>3.8085563112159639E-2</v>
      </c>
      <c r="U14" s="7">
        <f>$B14 * IFERROR(VLOOKUP("industry|NOx|Minor restricted activity days", US_national_yearly!$D:$AM, 29, FALSE) / VLOOKUP("industry|NOx|Minor restricted activity days", US_national_yearly!$D:$AM, 10, FALSE), 1)</f>
        <v>3.8352667015867689E-2</v>
      </c>
      <c r="V14" s="7">
        <f>$B14 * IFERROR(VLOOKUP("industry|NOx|Minor restricted activity days", US_national_yearly!$D:$AM, 30, FALSE) / VLOOKUP("industry|NOx|Minor restricted activity days", US_national_yearly!$D:$AM, 10, FALSE), 1)</f>
        <v>3.861977091957574E-2</v>
      </c>
      <c r="W14" s="7">
        <f>$B14 * IFERROR(VLOOKUP("industry|NOx|Minor restricted activity days", US_national_yearly!$D:$AM, 31, FALSE) / VLOOKUP("industry|NOx|Minor restricted activity days", US_national_yearly!$D:$AM, 10, FALSE), 1)</f>
        <v>3.8886874823283797E-2</v>
      </c>
      <c r="X14" s="7">
        <f>$B14 * IFERROR(VLOOKUP("industry|NOx|Minor restricted activity days", US_national_yearly!$D:$AM, 32, FALSE) / VLOOKUP("industry|NOx|Minor restricted activity days", US_national_yearly!$D:$AM, 10, FALSE), 1)</f>
        <v>3.9112386750935556E-2</v>
      </c>
      <c r="Y14" s="7">
        <f>$B14 * IFERROR(VLOOKUP("industry|NOx|Minor restricted activity days", US_national_yearly!$D:$AM, 33, FALSE) / VLOOKUP("industry|NOx|Minor restricted activity days", US_national_yearly!$D:$AM, 10, FALSE), 1)</f>
        <v>3.9337898678587307E-2</v>
      </c>
      <c r="Z14" s="7">
        <f>$B14 * IFERROR(VLOOKUP("industry|NOx|Minor restricted activity days", US_national_yearly!$D:$AM, 34, FALSE) / VLOOKUP("industry|NOx|Minor restricted activity days", US_national_yearly!$D:$AM, 10, FALSE), 1)</f>
        <v>3.9563410606239059E-2</v>
      </c>
      <c r="AA14" s="7">
        <f>$B14 * IFERROR(VLOOKUP("industry|NOx|Minor restricted activity days", US_national_yearly!$D:$AM, 35, FALSE) / VLOOKUP("industry|NOx|Minor restricted activity days", US_national_yearly!$D:$AM, 10, FALSE), 1)</f>
        <v>3.9788922533890818E-2</v>
      </c>
      <c r="AB14" s="7">
        <f>$B14 * IFERROR(VLOOKUP("industry|NOx|Minor restricted activity days", US_national_yearly!$D:$AM, 36, FALSE) / VLOOKUP("industry|NOx|Minor restricted activity days", US_national_yearly!$D:$AM, 10, FALSE), 1)</f>
        <v>4.0014434461542576E-2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5.9790613720046544E-3</v>
      </c>
      <c r="C15" s="7">
        <f>$B15 * IFERROR(VLOOKUP("industry|NOx|Work loss days", US_national_yearly!$D:$AM, 11, FALSE) / VLOOKUP("industry|NOx|Work loss days", US_national_yearly!$D:$AM, 10, FALSE), 1)</f>
        <v>5.9920160660458816E-3</v>
      </c>
      <c r="D15" s="7">
        <f>$B15 * IFERROR(VLOOKUP("industry|NOx|Work loss days", US_national_yearly!$D:$AM, 12, FALSE) / VLOOKUP("industry|NOx|Work loss days", US_national_yearly!$D:$AM, 10, FALSE), 1)</f>
        <v>6.0049707600871071E-3</v>
      </c>
      <c r="E15" s="7">
        <f>$B15 * IFERROR(VLOOKUP("industry|NOx|Work loss days", US_national_yearly!$D:$AM, 13, FALSE) / VLOOKUP("industry|NOx|Work loss days", US_national_yearly!$D:$AM, 10, FALSE), 1)</f>
        <v>6.0179254541283343E-3</v>
      </c>
      <c r="F15" s="7">
        <f>$B15 * IFERROR(VLOOKUP("industry|NOx|Work loss days", US_national_yearly!$D:$AM, 14, FALSE) / VLOOKUP("industry|NOx|Work loss days", US_national_yearly!$D:$AM, 10, FALSE), 1)</f>
        <v>6.0308801481695606E-3</v>
      </c>
      <c r="G15" s="7">
        <f>$B15 * IFERROR(VLOOKUP("industry|NOx|Work loss days", US_national_yearly!$D:$AM, 15, FALSE) / VLOOKUP("industry|NOx|Work loss days", US_national_yearly!$D:$AM, 10, FALSE), 1)</f>
        <v>6.0498296164201038E-3</v>
      </c>
      <c r="H15" s="7">
        <f>$B15 * IFERROR(VLOOKUP("industry|NOx|Work loss days", US_national_yearly!$D:$AM, 16, FALSE) / VLOOKUP("industry|NOx|Work loss days", US_national_yearly!$D:$AM, 10, FALSE), 1)</f>
        <v>6.0687790846706462E-3</v>
      </c>
      <c r="I15" s="7">
        <f>$B15 * IFERROR(VLOOKUP("industry|NOx|Work loss days", US_national_yearly!$D:$AM, 17, FALSE) / VLOOKUP("industry|NOx|Work loss days", US_national_yearly!$D:$AM, 10, FALSE), 1)</f>
        <v>6.0995671658528707E-3</v>
      </c>
      <c r="J15" s="7">
        <f>$B15 * IFERROR(VLOOKUP("industry|NOx|Work loss days", US_national_yearly!$D:$AM, 18, FALSE) / VLOOKUP("industry|NOx|Work loss days", US_national_yearly!$D:$AM, 10, FALSE), 1)</f>
        <v>6.1303552470350943E-3</v>
      </c>
      <c r="K15" s="7">
        <f>$B15 * IFERROR(VLOOKUP("industry|NOx|Work loss days", US_national_yearly!$D:$AM, 19, FALSE) / VLOOKUP("industry|NOx|Work loss days", US_national_yearly!$D:$AM, 10, FALSE), 1)</f>
        <v>6.1611433282173188E-3</v>
      </c>
      <c r="L15" s="7">
        <f>$B15 * IFERROR(VLOOKUP("industry|NOx|Work loss days", US_national_yearly!$D:$AM, 20, FALSE) / VLOOKUP("industry|NOx|Work loss days", US_national_yearly!$D:$AM, 10, FALSE), 1)</f>
        <v>6.1919314093995415E-3</v>
      </c>
      <c r="M15" s="7">
        <f>$B15 * IFERROR(VLOOKUP("industry|NOx|Work loss days", US_national_yearly!$D:$AM, 21, FALSE) / VLOOKUP("industry|NOx|Work loss days", US_national_yearly!$D:$AM, 10, FALSE), 1)</f>
        <v>6.222719490581766E-3</v>
      </c>
      <c r="N15" s="7">
        <f>$B15 * IFERROR(VLOOKUP("industry|NOx|Work loss days", US_national_yearly!$D:$AM, 22, FALSE) / VLOOKUP("industry|NOx|Work loss days", US_national_yearly!$D:$AM, 10, FALSE), 1)</f>
        <v>6.262983318746908E-3</v>
      </c>
      <c r="O15" s="7">
        <f>$B15 * IFERROR(VLOOKUP("industry|NOx|Work loss days", US_national_yearly!$D:$AM, 23, FALSE) / VLOOKUP("industry|NOx|Work loss days", US_national_yearly!$D:$AM, 10, FALSE), 1)</f>
        <v>6.3032471469120516E-3</v>
      </c>
      <c r="P15" s="7">
        <f>$B15 * IFERROR(VLOOKUP("industry|NOx|Work loss days", US_national_yearly!$D:$AM, 24, FALSE) / VLOOKUP("industry|NOx|Work loss days", US_national_yearly!$D:$AM, 10, FALSE), 1)</f>
        <v>6.3435109750771927E-3</v>
      </c>
      <c r="Q15" s="7">
        <f>$B15 * IFERROR(VLOOKUP("industry|NOx|Work loss days", US_national_yearly!$D:$AM, 25, FALSE) / VLOOKUP("industry|NOx|Work loss days", US_national_yearly!$D:$AM, 10, FALSE), 1)</f>
        <v>6.3837748032423347E-3</v>
      </c>
      <c r="R15" s="7">
        <f>$B15 * IFERROR(VLOOKUP("industry|NOx|Work loss days", US_national_yearly!$D:$AM, 26, FALSE) / VLOOKUP("industry|NOx|Work loss days", US_national_yearly!$D:$AM, 10, FALSE), 1)</f>
        <v>6.4240386314074784E-3</v>
      </c>
      <c r="S15" s="7">
        <f>$B15 * IFERROR(VLOOKUP("industry|NOx|Work loss days", US_national_yearly!$D:$AM, 27, FALSE) / VLOOKUP("industry|NOx|Work loss days", US_national_yearly!$D:$AM, 10, FALSE), 1)</f>
        <v>6.4690511524392183E-3</v>
      </c>
      <c r="T15" s="7">
        <f>$B15 * IFERROR(VLOOKUP("industry|NOx|Work loss days", US_national_yearly!$D:$AM, 28, FALSE) / VLOOKUP("industry|NOx|Work loss days", US_national_yearly!$D:$AM, 10, FALSE), 1)</f>
        <v>6.51406367347096E-3</v>
      </c>
      <c r="U15" s="7">
        <f>$B15 * IFERROR(VLOOKUP("industry|NOx|Work loss days", US_national_yearly!$D:$AM, 29, FALSE) / VLOOKUP("industry|NOx|Work loss days", US_national_yearly!$D:$AM, 10, FALSE), 1)</f>
        <v>6.5590761945027009E-3</v>
      </c>
      <c r="V15" s="7">
        <f>$B15 * IFERROR(VLOOKUP("industry|NOx|Work loss days", US_national_yearly!$D:$AM, 30, FALSE) / VLOOKUP("industry|NOx|Work loss days", US_national_yearly!$D:$AM, 10, FALSE), 1)</f>
        <v>6.6040887155344417E-3</v>
      </c>
      <c r="W15" s="7">
        <f>$B15 * IFERROR(VLOOKUP("industry|NOx|Work loss days", US_national_yearly!$D:$AM, 31, FALSE) / VLOOKUP("industry|NOx|Work loss days", US_national_yearly!$D:$AM, 10, FALSE), 1)</f>
        <v>6.6491012365661826E-3</v>
      </c>
      <c r="X15" s="7">
        <f>$B15 * IFERROR(VLOOKUP("industry|NOx|Work loss days", US_national_yearly!$D:$AM, 32, FALSE) / VLOOKUP("industry|NOx|Work loss days", US_national_yearly!$D:$AM, 10, FALSE), 1)</f>
        <v>6.6881511683727288E-3</v>
      </c>
      <c r="Y15" s="7">
        <f>$B15 * IFERROR(VLOOKUP("industry|NOx|Work loss days", US_national_yearly!$D:$AM, 33, FALSE) / VLOOKUP("industry|NOx|Work loss days", US_national_yearly!$D:$AM, 10, FALSE), 1)</f>
        <v>6.7272011001792758E-3</v>
      </c>
      <c r="Z15" s="7">
        <f>$B15 * IFERROR(VLOOKUP("industry|NOx|Work loss days", US_national_yearly!$D:$AM, 34, FALSE) / VLOOKUP("industry|NOx|Work loss days", US_national_yearly!$D:$AM, 10, FALSE), 1)</f>
        <v>6.766251031985822E-3</v>
      </c>
      <c r="AA15" s="7">
        <f>$B15 * IFERROR(VLOOKUP("industry|NOx|Work loss days", US_national_yearly!$D:$AM, 35, FALSE) / VLOOKUP("industry|NOx|Work loss days", US_national_yearly!$D:$AM, 10, FALSE), 1)</f>
        <v>6.8053009637923682E-3</v>
      </c>
      <c r="AB15" s="7">
        <f>$B15 * IFERROR(VLOOKUP("industry|NOx|Work loss days", US_national_yearly!$D:$AM, 36, FALSE) / VLOOKUP("industry|NOx|Work loss days", US_national_yearly!$D:$AM, 10, FALSE), 1)</f>
        <v>6.8443508955989144E-3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5.2172323674580593E-6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5.3704242457954089E-6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5.5236161241327593E-6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5.6768080024701088E-6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5.8299998808074601E-6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5.9755971414456923E-6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6.1211944020839263E-6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6.2439434277976862E-6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6.366692453511447E-6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6.489441479225206E-6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6.6121905049389659E-6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6.734939530652725E-6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6.8117854719588541E-6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6.8886314132649815E-6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6.9654773545711097E-6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7.0423232958772379E-6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7.1191692371833653E-6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7.1546197812814798E-6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7.1900703253795934E-6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7.2255208694777078E-6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7.2609714135758223E-6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7.2964219576739359E-6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7.31645126733467E-6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7.3364805769954041E-6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7.3565098866561383E-6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7.3765391963168707E-6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7.3965685059776065E-6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9.1280752436242348E-3</v>
      </c>
      <c r="C2" s="7">
        <f>$B2 * IFERROR(VLOOKUP("industry|SO2|Premature mortality", US_national_yearly!$D:$AM, 11, FALSE) / VLOOKUP("industry|SO2|Premature mortality", US_national_yearly!$D:$AM, 10, FALSE), 1)</f>
        <v>9.2437909652895844E-3</v>
      </c>
      <c r="D2" s="7">
        <f>$B2 * IFERROR(VLOOKUP("industry|SO2|Premature mortality", US_national_yearly!$D:$AM, 12, FALSE) / VLOOKUP("industry|SO2|Premature mortality", US_national_yearly!$D:$AM, 10, FALSE), 1)</f>
        <v>9.3595066869549323E-3</v>
      </c>
      <c r="E2" s="7">
        <f>$B2 * IFERROR(VLOOKUP("industry|SO2|Premature mortality", US_national_yearly!$D:$AM, 13, FALSE) / VLOOKUP("industry|SO2|Premature mortality", US_national_yearly!$D:$AM, 10, FALSE), 1)</f>
        <v>9.4752224086202801E-3</v>
      </c>
      <c r="F2" s="7">
        <f>$B2 * IFERROR(VLOOKUP("industry|SO2|Premature mortality", US_national_yearly!$D:$AM, 14, FALSE) / VLOOKUP("industry|SO2|Premature mortality", US_national_yearly!$D:$AM, 10, FALSE), 1)</f>
        <v>9.5909381302856297E-3</v>
      </c>
      <c r="G2" s="7">
        <f>$B2 * IFERROR(VLOOKUP("industry|SO2|Premature mortality", US_national_yearly!$D:$AM, 15, FALSE) / VLOOKUP("industry|SO2|Premature mortality", US_national_yearly!$D:$AM, 10, FALSE), 1)</f>
        <v>9.8139759735439425E-3</v>
      </c>
      <c r="H2" s="7">
        <f>$B2 * IFERROR(VLOOKUP("industry|SO2|Premature mortality", US_national_yearly!$D:$AM, 16, FALSE) / VLOOKUP("industry|SO2|Premature mortality", US_national_yearly!$D:$AM, 10, FALSE), 1)</f>
        <v>1.0037013816802255E-2</v>
      </c>
      <c r="I2" s="7">
        <f>$B2 * IFERROR(VLOOKUP("industry|SO2|Premature mortality", US_national_yearly!$D:$AM, 17, FALSE) / VLOOKUP("industry|SO2|Premature mortality", US_national_yearly!$D:$AM, 10, FALSE), 1)</f>
        <v>1.0184702948523498E-2</v>
      </c>
      <c r="J2" s="7">
        <f>$B2 * IFERROR(VLOOKUP("industry|SO2|Premature mortality", US_national_yearly!$D:$AM, 18, FALSE) / VLOOKUP("industry|SO2|Premature mortality", US_national_yearly!$D:$AM, 10, FALSE), 1)</f>
        <v>1.0332392080244737E-2</v>
      </c>
      <c r="K2" s="7">
        <f>$B2 * IFERROR(VLOOKUP("industry|SO2|Premature mortality", US_national_yearly!$D:$AM, 19, FALSE) / VLOOKUP("industry|SO2|Premature mortality", US_national_yearly!$D:$AM, 10, FALSE), 1)</f>
        <v>1.0480081211965978E-2</v>
      </c>
      <c r="L2" s="7">
        <f>$B2 * IFERROR(VLOOKUP("industry|SO2|Premature mortality", US_national_yearly!$D:$AM, 20, FALSE) / VLOOKUP("industry|SO2|Premature mortality", US_national_yearly!$D:$AM, 10, FALSE), 1)</f>
        <v>1.0627770343687219E-2</v>
      </c>
      <c r="M2" s="7">
        <f>$B2 * IFERROR(VLOOKUP("industry|SO2|Premature mortality", US_national_yearly!$D:$AM, 21, FALSE) / VLOOKUP("industry|SO2|Premature mortality", US_national_yearly!$D:$AM, 10, FALSE), 1)</f>
        <v>1.077545947540846E-2</v>
      </c>
      <c r="N2" s="7">
        <f>$B2 * IFERROR(VLOOKUP("industry|SO2|Premature mortality", US_national_yearly!$D:$AM, 22, FALSE) / VLOOKUP("industry|SO2|Premature mortality", US_national_yearly!$D:$AM, 10, FALSE), 1)</f>
        <v>1.0890987491183489E-2</v>
      </c>
      <c r="O2" s="7">
        <f>$B2 * IFERROR(VLOOKUP("industry|SO2|Premature mortality", US_national_yearly!$D:$AM, 23, FALSE) / VLOOKUP("industry|SO2|Premature mortality", US_national_yearly!$D:$AM, 10, FALSE), 1)</f>
        <v>1.1006515506958518E-2</v>
      </c>
      <c r="P2" s="7">
        <f>$B2 * IFERROR(VLOOKUP("industry|SO2|Premature mortality", US_national_yearly!$D:$AM, 24, FALSE) / VLOOKUP("industry|SO2|Premature mortality", US_national_yearly!$D:$AM, 10, FALSE), 1)</f>
        <v>1.1122043522733549E-2</v>
      </c>
      <c r="Q2" s="7">
        <f>$B2 * IFERROR(VLOOKUP("industry|SO2|Premature mortality", US_national_yearly!$D:$AM, 25, FALSE) / VLOOKUP("industry|SO2|Premature mortality", US_national_yearly!$D:$AM, 10, FALSE), 1)</f>
        <v>1.1237571538508578E-2</v>
      </c>
      <c r="R2" s="7">
        <f>$B2 * IFERROR(VLOOKUP("industry|SO2|Premature mortality", US_national_yearly!$D:$AM, 26, FALSE) / VLOOKUP("industry|SO2|Premature mortality", US_national_yearly!$D:$AM, 10, FALSE), 1)</f>
        <v>1.1353099554283607E-2</v>
      </c>
      <c r="S2" s="7">
        <f>$B2 * IFERROR(VLOOKUP("industry|SO2|Premature mortality", US_national_yearly!$D:$AM, 27, FALSE) / VLOOKUP("industry|SO2|Premature mortality", US_national_yearly!$D:$AM, 10, FALSE), 1)</f>
        <v>1.1415478318284746E-2</v>
      </c>
      <c r="T2" s="7">
        <f>$B2 * IFERROR(VLOOKUP("industry|SO2|Premature mortality", US_national_yearly!$D:$AM, 28, FALSE) / VLOOKUP("industry|SO2|Premature mortality", US_national_yearly!$D:$AM, 10, FALSE), 1)</f>
        <v>1.1477857082285886E-2</v>
      </c>
      <c r="U2" s="7">
        <f>$B2 * IFERROR(VLOOKUP("industry|SO2|Premature mortality", US_national_yearly!$D:$AM, 29, FALSE) / VLOOKUP("industry|SO2|Premature mortality", US_national_yearly!$D:$AM, 10, FALSE), 1)</f>
        <v>1.1540235846287028E-2</v>
      </c>
      <c r="V2" s="7">
        <f>$B2 * IFERROR(VLOOKUP("industry|SO2|Premature mortality", US_national_yearly!$D:$AM, 30, FALSE) / VLOOKUP("industry|SO2|Premature mortality", US_national_yearly!$D:$AM, 10, FALSE), 1)</f>
        <v>1.160261461028817E-2</v>
      </c>
      <c r="W2" s="7">
        <f>$B2 * IFERROR(VLOOKUP("industry|SO2|Premature mortality", US_national_yearly!$D:$AM, 31, FALSE) / VLOOKUP("industry|SO2|Premature mortality", US_national_yearly!$D:$AM, 10, FALSE), 1)</f>
        <v>1.166499337428931E-2</v>
      </c>
      <c r="X2" s="7">
        <f>$B2 * IFERROR(VLOOKUP("industry|SO2|Premature mortality", US_national_yearly!$D:$AM, 32, FALSE) / VLOOKUP("industry|SO2|Premature mortality", US_national_yearly!$D:$AM, 10, FALSE), 1)</f>
        <v>1.1678419187722161E-2</v>
      </c>
      <c r="Y2" s="7">
        <f>$B2 * IFERROR(VLOOKUP("industry|SO2|Premature mortality", US_national_yearly!$D:$AM, 33, FALSE) / VLOOKUP("industry|SO2|Premature mortality", US_national_yearly!$D:$AM, 10, FALSE), 1)</f>
        <v>1.1691845001155013E-2</v>
      </c>
      <c r="Z2" s="7">
        <f>$B2 * IFERROR(VLOOKUP("industry|SO2|Premature mortality", US_national_yearly!$D:$AM, 34, FALSE) / VLOOKUP("industry|SO2|Premature mortality", US_national_yearly!$D:$AM, 10, FALSE), 1)</f>
        <v>1.1705270814587866E-2</v>
      </c>
      <c r="AA2" s="7">
        <f>$B2 * IFERROR(VLOOKUP("industry|SO2|Premature mortality", US_national_yearly!$D:$AM, 35, FALSE) / VLOOKUP("industry|SO2|Premature mortality", US_national_yearly!$D:$AM, 10, FALSE), 1)</f>
        <v>1.1718696628020718E-2</v>
      </c>
      <c r="AB2" s="7">
        <f>$B2 * IFERROR(VLOOKUP("industry|SO2|Premature mortality", US_national_yearly!$D:$AM, 36, FALSE) / VLOOKUP("industry|SO2|Premature mortality", US_national_yearly!$D:$AM, 10, FALSE), 1)</f>
        <v>1.1732122441453569E-2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4.2084812263416018E-5</v>
      </c>
      <c r="C3" s="7">
        <f>$B3 * IFERROR(VLOOKUP("industry|SO2|Infant mortality", US_national_yearly!$D:$AM, 11, FALSE) / VLOOKUP("industry|SO2|Infant mortality", US_national_yearly!$D:$AM, 10, FALSE), 1)</f>
        <v>4.1722753378069495E-5</v>
      </c>
      <c r="D3" s="7">
        <f>$B3 * IFERROR(VLOOKUP("industry|SO2|Infant mortality", US_national_yearly!$D:$AM, 12, FALSE) / VLOOKUP("industry|SO2|Infant mortality", US_national_yearly!$D:$AM, 10, FALSE), 1)</f>
        <v>4.1360694492722978E-5</v>
      </c>
      <c r="E3" s="7">
        <f>$B3 * IFERROR(VLOOKUP("industry|SO2|Infant mortality", US_national_yearly!$D:$AM, 13, FALSE) / VLOOKUP("industry|SO2|Infant mortality", US_national_yearly!$D:$AM, 10, FALSE), 1)</f>
        <v>4.099863560737646E-5</v>
      </c>
      <c r="F3" s="7">
        <f>$B3 * IFERROR(VLOOKUP("industry|SO2|Infant mortality", US_national_yearly!$D:$AM, 14, FALSE) / VLOOKUP("industry|SO2|Infant mortality", US_national_yearly!$D:$AM, 10, FALSE), 1)</f>
        <v>4.0636576722029943E-5</v>
      </c>
      <c r="G3" s="7">
        <f>$B3 * IFERROR(VLOOKUP("industry|SO2|Infant mortality", US_national_yearly!$D:$AM, 15, FALSE) / VLOOKUP("industry|SO2|Infant mortality", US_national_yearly!$D:$AM, 10, FALSE), 1)</f>
        <v>2.7051701921818445E-5</v>
      </c>
      <c r="H3" s="7">
        <f>$B3 * IFERROR(VLOOKUP("industry|SO2|Infant mortality", US_national_yearly!$D:$AM, 16, FALSE) / VLOOKUP("industry|SO2|Infant mortality", US_national_yearly!$D:$AM, 10, FALSE), 1)</f>
        <v>1.3466827121606952E-5</v>
      </c>
      <c r="I3" s="7">
        <f>$B3 * IFERROR(VLOOKUP("industry|SO2|Infant mortality", US_national_yearly!$D:$AM, 17, FALSE) / VLOOKUP("industry|SO2|Infant mortality", US_national_yearly!$D:$AM, 10, FALSE), 1)</f>
        <v>1.3381313917980295E-5</v>
      </c>
      <c r="J3" s="7">
        <f>$B3 * IFERROR(VLOOKUP("industry|SO2|Infant mortality", US_national_yearly!$D:$AM, 18, FALSE) / VLOOKUP("industry|SO2|Infant mortality", US_national_yearly!$D:$AM, 10, FALSE), 1)</f>
        <v>1.3295800714353638E-5</v>
      </c>
      <c r="K3" s="7">
        <f>$B3 * IFERROR(VLOOKUP("industry|SO2|Infant mortality", US_national_yearly!$D:$AM, 19, FALSE) / VLOOKUP("industry|SO2|Infant mortality", US_national_yearly!$D:$AM, 10, FALSE), 1)</f>
        <v>1.321028751072698E-5</v>
      </c>
      <c r="L3" s="7">
        <f>$B3 * IFERROR(VLOOKUP("industry|SO2|Infant mortality", US_national_yearly!$D:$AM, 20, FALSE) / VLOOKUP("industry|SO2|Infant mortality", US_national_yearly!$D:$AM, 10, FALSE), 1)</f>
        <v>1.3124774307100322E-5</v>
      </c>
      <c r="M3" s="7">
        <f>$B3 * IFERROR(VLOOKUP("industry|SO2|Infant mortality", US_national_yearly!$D:$AM, 21, FALSE) / VLOOKUP("industry|SO2|Infant mortality", US_national_yearly!$D:$AM, 10, FALSE), 1)</f>
        <v>1.3039261103473666E-5</v>
      </c>
      <c r="N3" s="7">
        <f>$B3 * IFERROR(VLOOKUP("industry|SO2|Infant mortality", US_national_yearly!$D:$AM, 22, FALSE) / VLOOKUP("industry|SO2|Infant mortality", US_national_yearly!$D:$AM, 10, FALSE), 1)</f>
        <v>1.2985062433278533E-5</v>
      </c>
      <c r="O3" s="7">
        <f>$B3 * IFERROR(VLOOKUP("industry|SO2|Infant mortality", US_national_yearly!$D:$AM, 23, FALSE) / VLOOKUP("industry|SO2|Infant mortality", US_national_yearly!$D:$AM, 10, FALSE), 1)</f>
        <v>1.2930863763083402E-5</v>
      </c>
      <c r="P3" s="7">
        <f>$B3 * IFERROR(VLOOKUP("industry|SO2|Infant mortality", US_national_yearly!$D:$AM, 24, FALSE) / VLOOKUP("industry|SO2|Infant mortality", US_national_yearly!$D:$AM, 10, FALSE), 1)</f>
        <v>1.287666509288827E-5</v>
      </c>
      <c r="Q3" s="7">
        <f>$B3 * IFERROR(VLOOKUP("industry|SO2|Infant mortality", US_national_yearly!$D:$AM, 25, FALSE) / VLOOKUP("industry|SO2|Infant mortality", US_national_yearly!$D:$AM, 10, FALSE), 1)</f>
        <v>1.2822466422693139E-5</v>
      </c>
      <c r="R3" s="7">
        <f>$B3 * IFERROR(VLOOKUP("industry|SO2|Infant mortality", US_national_yearly!$D:$AM, 26, FALSE) / VLOOKUP("industry|SO2|Infant mortality", US_national_yearly!$D:$AM, 10, FALSE), 1)</f>
        <v>1.2768267752498006E-5</v>
      </c>
      <c r="S3" s="7">
        <f>$B3 * IFERROR(VLOOKUP("industry|SO2|Infant mortality", US_national_yearly!$D:$AM, 27, FALSE) / VLOOKUP("industry|SO2|Infant mortality", US_national_yearly!$D:$AM, 10, FALSE), 1)</f>
        <v>1.2700818125721476E-5</v>
      </c>
      <c r="T3" s="7">
        <f>$B3 * IFERROR(VLOOKUP("industry|SO2|Infant mortality", US_national_yearly!$D:$AM, 28, FALSE) / VLOOKUP("industry|SO2|Infant mortality", US_national_yearly!$D:$AM, 10, FALSE), 1)</f>
        <v>1.2633368498944945E-5</v>
      </c>
      <c r="U3" s="7">
        <f>$B3 * IFERROR(VLOOKUP("industry|SO2|Infant mortality", US_national_yearly!$D:$AM, 29, FALSE) / VLOOKUP("industry|SO2|Infant mortality", US_national_yearly!$D:$AM, 10, FALSE), 1)</f>
        <v>1.2565918872168415E-5</v>
      </c>
      <c r="V3" s="7">
        <f>$B3 * IFERROR(VLOOKUP("industry|SO2|Infant mortality", US_national_yearly!$D:$AM, 30, FALSE) / VLOOKUP("industry|SO2|Infant mortality", US_national_yearly!$D:$AM, 10, FALSE), 1)</f>
        <v>1.2498469245391883E-5</v>
      </c>
      <c r="W3" s="7">
        <f>$B3 * IFERROR(VLOOKUP("industry|SO2|Infant mortality", US_national_yearly!$D:$AM, 31, FALSE) / VLOOKUP("industry|SO2|Infant mortality", US_national_yearly!$D:$AM, 10, FALSE), 1)</f>
        <v>1.2431019618615353E-5</v>
      </c>
      <c r="X3" s="7">
        <f>$B3 * IFERROR(VLOOKUP("industry|SO2|Infant mortality", US_national_yearly!$D:$AM, 32, FALSE) / VLOOKUP("industry|SO2|Infant mortality", US_national_yearly!$D:$AM, 10, FALSE), 1)</f>
        <v>1.235772200270055E-5</v>
      </c>
      <c r="Y3" s="7">
        <f>$B3 * IFERROR(VLOOKUP("industry|SO2|Infant mortality", US_national_yearly!$D:$AM, 33, FALSE) / VLOOKUP("industry|SO2|Infant mortality", US_national_yearly!$D:$AM, 10, FALSE), 1)</f>
        <v>1.2284424386785748E-5</v>
      </c>
      <c r="Z3" s="7">
        <f>$B3 * IFERROR(VLOOKUP("industry|SO2|Infant mortality", US_national_yearly!$D:$AM, 34, FALSE) / VLOOKUP("industry|SO2|Infant mortality", US_national_yearly!$D:$AM, 10, FALSE), 1)</f>
        <v>1.2211126770870945E-5</v>
      </c>
      <c r="AA3" s="7">
        <f>$B3 * IFERROR(VLOOKUP("industry|SO2|Infant mortality", US_national_yearly!$D:$AM, 35, FALSE) / VLOOKUP("industry|SO2|Infant mortality", US_national_yearly!$D:$AM, 10, FALSE), 1)</f>
        <v>1.2137829154956143E-5</v>
      </c>
      <c r="AB3" s="7">
        <f>$B3 * IFERROR(VLOOKUP("industry|SO2|Infant mortality", US_national_yearly!$D:$AM, 36, FALSE) / VLOOKUP("industry|SO2|Infant mortality", US_national_yearly!$D:$AM, 10, FALSE), 1)</f>
        <v>1.206453153904134E-5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4.5760787397238711E-2</v>
      </c>
      <c r="C6" s="7">
        <f>$B6 * IFERROR(VLOOKUP("industry|SO2|Asthma symptoms cough", US_national_yearly!$D:$AM, 11, FALSE) / VLOOKUP("industry|SO2|Asthma symptoms cough", US_national_yearly!$D:$AM, 10, FALSE), 1)</f>
        <v>4.5760787397238711E-2</v>
      </c>
      <c r="D6" s="7">
        <f>$B6 * IFERROR(VLOOKUP("industry|SO2|Asthma symptoms cough", US_national_yearly!$D:$AM, 12, FALSE) / VLOOKUP("industry|SO2|Asthma symptoms cough", US_national_yearly!$D:$AM, 10, FALSE), 1)</f>
        <v>4.5760787397238711E-2</v>
      </c>
      <c r="E6" s="7">
        <f>$B6 * IFERROR(VLOOKUP("industry|SO2|Asthma symptoms cough", US_national_yearly!$D:$AM, 13, FALSE) / VLOOKUP("industry|SO2|Asthma symptoms cough", US_national_yearly!$D:$AM, 10, FALSE), 1)</f>
        <v>4.5760787397238711E-2</v>
      </c>
      <c r="F6" s="7">
        <f>$B6 * IFERROR(VLOOKUP("industry|SO2|Asthma symptoms cough", US_national_yearly!$D:$AM, 14, FALSE) / VLOOKUP("industry|SO2|Asthma symptoms cough", US_national_yearly!$D:$AM, 10, FALSE), 1)</f>
        <v>4.5760787397238711E-2</v>
      </c>
      <c r="G6" s="7">
        <f>$B6 * IFERROR(VLOOKUP("industry|SO2|Asthma symptoms cough", US_national_yearly!$D:$AM, 15, FALSE) / VLOOKUP("industry|SO2|Asthma symptoms cough", US_national_yearly!$D:$AM, 10, FALSE), 1)</f>
        <v>4.5760787397238711E-2</v>
      </c>
      <c r="H6" s="7">
        <f>$B6 * IFERROR(VLOOKUP("industry|SO2|Asthma symptoms cough", US_national_yearly!$D:$AM, 16, FALSE) / VLOOKUP("industry|SO2|Asthma symptoms cough", US_national_yearly!$D:$AM, 10, FALSE), 1)</f>
        <v>4.5760787397238711E-2</v>
      </c>
      <c r="I6" s="7">
        <f>$B6 * IFERROR(VLOOKUP("industry|SO2|Asthma symptoms cough", US_national_yearly!$D:$AM, 17, FALSE) / VLOOKUP("industry|SO2|Asthma symptoms cough", US_national_yearly!$D:$AM, 10, FALSE), 1)</f>
        <v>4.5760787397238711E-2</v>
      </c>
      <c r="J6" s="7">
        <f>$B6 * IFERROR(VLOOKUP("industry|SO2|Asthma symptoms cough", US_national_yearly!$D:$AM, 18, FALSE) / VLOOKUP("industry|SO2|Asthma symptoms cough", US_national_yearly!$D:$AM, 10, FALSE), 1)</f>
        <v>4.5760787397238711E-2</v>
      </c>
      <c r="K6" s="7">
        <f>$B6 * IFERROR(VLOOKUP("industry|SO2|Asthma symptoms cough", US_national_yearly!$D:$AM, 19, FALSE) / VLOOKUP("industry|SO2|Asthma symptoms cough", US_national_yearly!$D:$AM, 10, FALSE), 1)</f>
        <v>4.5760787397238711E-2</v>
      </c>
      <c r="L6" s="7">
        <f>$B6 * IFERROR(VLOOKUP("industry|SO2|Asthma symptoms cough", US_national_yearly!$D:$AM, 20, FALSE) / VLOOKUP("industry|SO2|Asthma symptoms cough", US_national_yearly!$D:$AM, 10, FALSE), 1)</f>
        <v>4.5760787397238711E-2</v>
      </c>
      <c r="M6" s="7">
        <f>$B6 * IFERROR(VLOOKUP("industry|SO2|Asthma symptoms cough", US_national_yearly!$D:$AM, 21, FALSE) / VLOOKUP("industry|SO2|Asthma symptoms cough", US_national_yearly!$D:$AM, 10, FALSE), 1)</f>
        <v>4.5760787397238711E-2</v>
      </c>
      <c r="N6" s="7">
        <f>$B6 * IFERROR(VLOOKUP("industry|SO2|Asthma symptoms cough", US_national_yearly!$D:$AM, 22, FALSE) / VLOOKUP("industry|SO2|Asthma symptoms cough", US_national_yearly!$D:$AM, 10, FALSE), 1)</f>
        <v>4.5760787397238711E-2</v>
      </c>
      <c r="O6" s="7">
        <f>$B6 * IFERROR(VLOOKUP("industry|SO2|Asthma symptoms cough", US_national_yearly!$D:$AM, 23, FALSE) / VLOOKUP("industry|SO2|Asthma symptoms cough", US_national_yearly!$D:$AM, 10, FALSE), 1)</f>
        <v>4.5760787397238711E-2</v>
      </c>
      <c r="P6" s="7">
        <f>$B6 * IFERROR(VLOOKUP("industry|SO2|Asthma symptoms cough", US_national_yearly!$D:$AM, 24, FALSE) / VLOOKUP("industry|SO2|Asthma symptoms cough", US_national_yearly!$D:$AM, 10, FALSE), 1)</f>
        <v>4.5760787397238711E-2</v>
      </c>
      <c r="Q6" s="7">
        <f>$B6 * IFERROR(VLOOKUP("industry|SO2|Asthma symptoms cough", US_national_yearly!$D:$AM, 25, FALSE) / VLOOKUP("industry|SO2|Asthma symptoms cough", US_national_yearly!$D:$AM, 10, FALSE), 1)</f>
        <v>4.5760787397238711E-2</v>
      </c>
      <c r="R6" s="7">
        <f>$B6 * IFERROR(VLOOKUP("industry|SO2|Asthma symptoms cough", US_national_yearly!$D:$AM, 26, FALSE) / VLOOKUP("industry|SO2|Asthma symptoms cough", US_national_yearly!$D:$AM, 10, FALSE), 1)</f>
        <v>4.5760787397238711E-2</v>
      </c>
      <c r="S6" s="7">
        <f>$B6 * IFERROR(VLOOKUP("industry|SO2|Asthma symptoms cough", US_national_yearly!$D:$AM, 27, FALSE) / VLOOKUP("industry|SO2|Asthma symptoms cough", US_national_yearly!$D:$AM, 10, FALSE), 1)</f>
        <v>4.5760787397238711E-2</v>
      </c>
      <c r="T6" s="7">
        <f>$B6 * IFERROR(VLOOKUP("industry|SO2|Asthma symptoms cough", US_national_yearly!$D:$AM, 28, FALSE) / VLOOKUP("industry|SO2|Asthma symptoms cough", US_national_yearly!$D:$AM, 10, FALSE), 1)</f>
        <v>4.5760787397238711E-2</v>
      </c>
      <c r="U6" s="7">
        <f>$B6 * IFERROR(VLOOKUP("industry|SO2|Asthma symptoms cough", US_national_yearly!$D:$AM, 29, FALSE) / VLOOKUP("industry|SO2|Asthma symptoms cough", US_national_yearly!$D:$AM, 10, FALSE), 1)</f>
        <v>4.5760787397238711E-2</v>
      </c>
      <c r="V6" s="7">
        <f>$B6 * IFERROR(VLOOKUP("industry|SO2|Asthma symptoms cough", US_national_yearly!$D:$AM, 30, FALSE) / VLOOKUP("industry|SO2|Asthma symptoms cough", US_national_yearly!$D:$AM, 10, FALSE), 1)</f>
        <v>4.5760787397238711E-2</v>
      </c>
      <c r="W6" s="7">
        <f>$B6 * IFERROR(VLOOKUP("industry|SO2|Asthma symptoms cough", US_national_yearly!$D:$AM, 31, FALSE) / VLOOKUP("industry|SO2|Asthma symptoms cough", US_national_yearly!$D:$AM, 10, FALSE), 1)</f>
        <v>4.5760787397238711E-2</v>
      </c>
      <c r="X6" s="7">
        <f>$B6 * IFERROR(VLOOKUP("industry|SO2|Asthma symptoms cough", US_national_yearly!$D:$AM, 32, FALSE) / VLOOKUP("industry|SO2|Asthma symptoms cough", US_national_yearly!$D:$AM, 10, FALSE), 1)</f>
        <v>4.5760787397238711E-2</v>
      </c>
      <c r="Y6" s="7">
        <f>$B6 * IFERROR(VLOOKUP("industry|SO2|Asthma symptoms cough", US_national_yearly!$D:$AM, 33, FALSE) / VLOOKUP("industry|SO2|Asthma symptoms cough", US_national_yearly!$D:$AM, 10, FALSE), 1)</f>
        <v>4.5760787397238711E-2</v>
      </c>
      <c r="Z6" s="7">
        <f>$B6 * IFERROR(VLOOKUP("industry|SO2|Asthma symptoms cough", US_national_yearly!$D:$AM, 34, FALSE) / VLOOKUP("industry|SO2|Asthma symptoms cough", US_national_yearly!$D:$AM, 10, FALSE), 1)</f>
        <v>4.5760787397238711E-2</v>
      </c>
      <c r="AA6" s="7">
        <f>$B6 * IFERROR(VLOOKUP("industry|SO2|Asthma symptoms cough", US_national_yearly!$D:$AM, 35, FALSE) / VLOOKUP("industry|SO2|Asthma symptoms cough", US_national_yearly!$D:$AM, 10, FALSE), 1)</f>
        <v>4.5760787397238711E-2</v>
      </c>
      <c r="AB6" s="7">
        <f>$B6 * IFERROR(VLOOKUP("industry|SO2|Asthma symptoms cough", US_national_yearly!$D:$AM, 36, FALSE) / VLOOKUP("industry|SO2|Asthma symptoms cough", US_national_yearly!$D:$AM, 10, FALSE), 1)</f>
        <v>4.5760787397238711E-2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6.1622384612939993E-2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6.1622384612939993E-2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6.1622384612939993E-2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6.1622384612939993E-2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6.1622384612939993E-2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6.1622384612939993E-2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6.1622384612939993E-2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6.1622384612939993E-2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6.1622384612939993E-2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6.1622384612939993E-2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6.1622384612939993E-2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6.1622384612939993E-2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6.1622384612939993E-2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6.1622384612939993E-2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6.1622384612939993E-2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6.1622384612939993E-2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6.1622384612939993E-2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6.1622384612939993E-2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6.1622384612939993E-2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6.1622384612939993E-2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6.1622384612939993E-2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6.1622384612939993E-2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6.1622384612939993E-2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6.1622384612939993E-2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6.1622384612939993E-2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6.1622384612939993E-2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6.1622384612939993E-2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9.4152681567169105E-2</v>
      </c>
      <c r="C8" s="7">
        <f>$B8 * IFERROR(VLOOKUP("industry|SO2|Asthma symptoms wheeze", US_national_yearly!$D:$AM, 11, FALSE) / VLOOKUP("industry|SO2|Asthma symptoms wheeze", US_national_yearly!$D:$AM, 10, FALSE), 1)</f>
        <v>9.4152681567169105E-2</v>
      </c>
      <c r="D8" s="7">
        <f>$B8 * IFERROR(VLOOKUP("industry|SO2|Asthma symptoms wheeze", US_national_yearly!$D:$AM, 12, FALSE) / VLOOKUP("industry|SO2|Asthma symptoms wheeze", US_national_yearly!$D:$AM, 10, FALSE), 1)</f>
        <v>9.4152681567169105E-2</v>
      </c>
      <c r="E8" s="7">
        <f>$B8 * IFERROR(VLOOKUP("industry|SO2|Asthma symptoms wheeze", US_national_yearly!$D:$AM, 13, FALSE) / VLOOKUP("industry|SO2|Asthma symptoms wheeze", US_national_yearly!$D:$AM, 10, FALSE), 1)</f>
        <v>9.4152681567169105E-2</v>
      </c>
      <c r="F8" s="7">
        <f>$B8 * IFERROR(VLOOKUP("industry|SO2|Asthma symptoms wheeze", US_national_yearly!$D:$AM, 14, FALSE) / VLOOKUP("industry|SO2|Asthma symptoms wheeze", US_national_yearly!$D:$AM, 10, FALSE), 1)</f>
        <v>9.4152681567169105E-2</v>
      </c>
      <c r="G8" s="7">
        <f>$B8 * IFERROR(VLOOKUP("industry|SO2|Asthma symptoms wheeze", US_national_yearly!$D:$AM, 15, FALSE) / VLOOKUP("industry|SO2|Asthma symptoms wheeze", US_national_yearly!$D:$AM, 10, FALSE), 1)</f>
        <v>9.4152681567169105E-2</v>
      </c>
      <c r="H8" s="7">
        <f>$B8 * IFERROR(VLOOKUP("industry|SO2|Asthma symptoms wheeze", US_national_yearly!$D:$AM, 16, FALSE) / VLOOKUP("industry|SO2|Asthma symptoms wheeze", US_national_yearly!$D:$AM, 10, FALSE), 1)</f>
        <v>9.4152681567169105E-2</v>
      </c>
      <c r="I8" s="7">
        <f>$B8 * IFERROR(VLOOKUP("industry|SO2|Asthma symptoms wheeze", US_national_yearly!$D:$AM, 17, FALSE) / VLOOKUP("industry|SO2|Asthma symptoms wheeze", US_national_yearly!$D:$AM, 10, FALSE), 1)</f>
        <v>9.4152681567169105E-2</v>
      </c>
      <c r="J8" s="7">
        <f>$B8 * IFERROR(VLOOKUP("industry|SO2|Asthma symptoms wheeze", US_national_yearly!$D:$AM, 18, FALSE) / VLOOKUP("industry|SO2|Asthma symptoms wheeze", US_national_yearly!$D:$AM, 10, FALSE), 1)</f>
        <v>9.4152681567169105E-2</v>
      </c>
      <c r="K8" s="7">
        <f>$B8 * IFERROR(VLOOKUP("industry|SO2|Asthma symptoms wheeze", US_national_yearly!$D:$AM, 19, FALSE) / VLOOKUP("industry|SO2|Asthma symptoms wheeze", US_national_yearly!$D:$AM, 10, FALSE), 1)</f>
        <v>9.4152681567169105E-2</v>
      </c>
      <c r="L8" s="7">
        <f>$B8 * IFERROR(VLOOKUP("industry|SO2|Asthma symptoms wheeze", US_national_yearly!$D:$AM, 20, FALSE) / VLOOKUP("industry|SO2|Asthma symptoms wheeze", US_national_yearly!$D:$AM, 10, FALSE), 1)</f>
        <v>9.4152681567169105E-2</v>
      </c>
      <c r="M8" s="7">
        <f>$B8 * IFERROR(VLOOKUP("industry|SO2|Asthma symptoms wheeze", US_national_yearly!$D:$AM, 21, FALSE) / VLOOKUP("industry|SO2|Asthma symptoms wheeze", US_national_yearly!$D:$AM, 10, FALSE), 1)</f>
        <v>9.4152681567169105E-2</v>
      </c>
      <c r="N8" s="7">
        <f>$B8 * IFERROR(VLOOKUP("industry|SO2|Asthma symptoms wheeze", US_national_yearly!$D:$AM, 22, FALSE) / VLOOKUP("industry|SO2|Asthma symptoms wheeze", US_national_yearly!$D:$AM, 10, FALSE), 1)</f>
        <v>9.4152681567169105E-2</v>
      </c>
      <c r="O8" s="7">
        <f>$B8 * IFERROR(VLOOKUP("industry|SO2|Asthma symptoms wheeze", US_national_yearly!$D:$AM, 23, FALSE) / VLOOKUP("industry|SO2|Asthma symptoms wheeze", US_national_yearly!$D:$AM, 10, FALSE), 1)</f>
        <v>9.4152681567169105E-2</v>
      </c>
      <c r="P8" s="7">
        <f>$B8 * IFERROR(VLOOKUP("industry|SO2|Asthma symptoms wheeze", US_national_yearly!$D:$AM, 24, FALSE) / VLOOKUP("industry|SO2|Asthma symptoms wheeze", US_national_yearly!$D:$AM, 10, FALSE), 1)</f>
        <v>9.4152681567169105E-2</v>
      </c>
      <c r="Q8" s="7">
        <f>$B8 * IFERROR(VLOOKUP("industry|SO2|Asthma symptoms wheeze", US_national_yearly!$D:$AM, 25, FALSE) / VLOOKUP("industry|SO2|Asthma symptoms wheeze", US_national_yearly!$D:$AM, 10, FALSE), 1)</f>
        <v>9.4152681567169105E-2</v>
      </c>
      <c r="R8" s="7">
        <f>$B8 * IFERROR(VLOOKUP("industry|SO2|Asthma symptoms wheeze", US_national_yearly!$D:$AM, 26, FALSE) / VLOOKUP("industry|SO2|Asthma symptoms wheeze", US_national_yearly!$D:$AM, 10, FALSE), 1)</f>
        <v>9.4152681567169105E-2</v>
      </c>
      <c r="S8" s="7">
        <f>$B8 * IFERROR(VLOOKUP("industry|SO2|Asthma symptoms wheeze", US_national_yearly!$D:$AM, 27, FALSE) / VLOOKUP("industry|SO2|Asthma symptoms wheeze", US_national_yearly!$D:$AM, 10, FALSE), 1)</f>
        <v>9.4152681567169105E-2</v>
      </c>
      <c r="T8" s="7">
        <f>$B8 * IFERROR(VLOOKUP("industry|SO2|Asthma symptoms wheeze", US_national_yearly!$D:$AM, 28, FALSE) / VLOOKUP("industry|SO2|Asthma symptoms wheeze", US_national_yearly!$D:$AM, 10, FALSE), 1)</f>
        <v>9.4152681567169105E-2</v>
      </c>
      <c r="U8" s="7">
        <f>$B8 * IFERROR(VLOOKUP("industry|SO2|Asthma symptoms wheeze", US_national_yearly!$D:$AM, 29, FALSE) / VLOOKUP("industry|SO2|Asthma symptoms wheeze", US_national_yearly!$D:$AM, 10, FALSE), 1)</f>
        <v>9.4152681567169105E-2</v>
      </c>
      <c r="V8" s="7">
        <f>$B8 * IFERROR(VLOOKUP("industry|SO2|Asthma symptoms wheeze", US_national_yearly!$D:$AM, 30, FALSE) / VLOOKUP("industry|SO2|Asthma symptoms wheeze", US_national_yearly!$D:$AM, 10, FALSE), 1)</f>
        <v>9.4152681567169105E-2</v>
      </c>
      <c r="W8" s="7">
        <f>$B8 * IFERROR(VLOOKUP("industry|SO2|Asthma symptoms wheeze", US_national_yearly!$D:$AM, 31, FALSE) / VLOOKUP("industry|SO2|Asthma symptoms wheeze", US_national_yearly!$D:$AM, 10, FALSE), 1)</f>
        <v>9.4152681567169105E-2</v>
      </c>
      <c r="X8" s="7">
        <f>$B8 * IFERROR(VLOOKUP("industry|SO2|Asthma symptoms wheeze", US_national_yearly!$D:$AM, 32, FALSE) / VLOOKUP("industry|SO2|Asthma symptoms wheeze", US_national_yearly!$D:$AM, 10, FALSE), 1)</f>
        <v>9.4152681567169105E-2</v>
      </c>
      <c r="Y8" s="7">
        <f>$B8 * IFERROR(VLOOKUP("industry|SO2|Asthma symptoms wheeze", US_national_yearly!$D:$AM, 33, FALSE) / VLOOKUP("industry|SO2|Asthma symptoms wheeze", US_national_yearly!$D:$AM, 10, FALSE), 1)</f>
        <v>9.4152681567169105E-2</v>
      </c>
      <c r="Z8" s="7">
        <f>$B8 * IFERROR(VLOOKUP("industry|SO2|Asthma symptoms wheeze", US_national_yearly!$D:$AM, 34, FALSE) / VLOOKUP("industry|SO2|Asthma symptoms wheeze", US_national_yearly!$D:$AM, 10, FALSE), 1)</f>
        <v>9.4152681567169105E-2</v>
      </c>
      <c r="AA8" s="7">
        <f>$B8 * IFERROR(VLOOKUP("industry|SO2|Asthma symptoms wheeze", US_national_yearly!$D:$AM, 35, FALSE) / VLOOKUP("industry|SO2|Asthma symptoms wheeze", US_national_yearly!$D:$AM, 10, FALSE), 1)</f>
        <v>9.4152681567169105E-2</v>
      </c>
      <c r="AB8" s="7">
        <f>$B8 * IFERROR(VLOOKUP("industry|SO2|Asthma symptoms wheeze", US_national_yearly!$D:$AM, 36, FALSE) / VLOOKUP("industry|SO2|Asthma symptoms wheeze", US_national_yearly!$D:$AM, 10, FALSE), 1)</f>
        <v>9.4152681567169105E-2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4.9665800895245171E-4</v>
      </c>
      <c r="C12" s="7">
        <f>$B12 * IFERROR(VLOOKUP("industry|SO2|Respiratory hospital admissions", US_national_yearly!$D:$AM, 11, FALSE) / VLOOKUP("industry|SO2|Respiratory hospital admissions", US_national_yearly!$D:$AM, 10, FALSE), 1)</f>
        <v>4.995674767391549E-4</v>
      </c>
      <c r="D12" s="7">
        <f>$B12 * IFERROR(VLOOKUP("industry|SO2|Respiratory hospital admissions", US_national_yearly!$D:$AM, 12, FALSE) / VLOOKUP("industry|SO2|Respiratory hospital admissions", US_national_yearly!$D:$AM, 10, FALSE), 1)</f>
        <v>5.0247694452585821E-4</v>
      </c>
      <c r="E12" s="7">
        <f>$B12 * IFERROR(VLOOKUP("industry|SO2|Respiratory hospital admissions", US_national_yearly!$D:$AM, 13, FALSE) / VLOOKUP("industry|SO2|Respiratory hospital admissions", US_national_yearly!$D:$AM, 10, FALSE), 1)</f>
        <v>5.053864123125614E-4</v>
      </c>
      <c r="F12" s="7">
        <f>$B12 * IFERROR(VLOOKUP("industry|SO2|Respiratory hospital admissions", US_national_yearly!$D:$AM, 14, FALSE) / VLOOKUP("industry|SO2|Respiratory hospital admissions", US_national_yearly!$D:$AM, 10, FALSE), 1)</f>
        <v>5.0829588009926481E-4</v>
      </c>
      <c r="G12" s="7">
        <f>$B12 * IFERROR(VLOOKUP("industry|SO2|Respiratory hospital admissions", US_national_yearly!$D:$AM, 15, FALSE) / VLOOKUP("industry|SO2|Respiratory hospital admissions", US_national_yearly!$D:$AM, 10, FALSE), 1)</f>
        <v>5.1146776280056559E-4</v>
      </c>
      <c r="H12" s="7">
        <f>$B12 * IFERROR(VLOOKUP("industry|SO2|Respiratory hospital admissions", US_national_yearly!$D:$AM, 16, FALSE) / VLOOKUP("industry|SO2|Respiratory hospital admissions", US_national_yearly!$D:$AM, 10, FALSE), 1)</f>
        <v>5.1463964550186626E-4</v>
      </c>
      <c r="I12" s="7">
        <f>$B12 * IFERROR(VLOOKUP("industry|SO2|Respiratory hospital admissions", US_national_yearly!$D:$AM, 17, FALSE) / VLOOKUP("industry|SO2|Respiratory hospital admissions", US_national_yearly!$D:$AM, 10, FALSE), 1)</f>
        <v>5.177549544117077E-4</v>
      </c>
      <c r="J12" s="7">
        <f>$B12 * IFERROR(VLOOKUP("industry|SO2|Respiratory hospital admissions", US_national_yearly!$D:$AM, 18, FALSE) / VLOOKUP("industry|SO2|Respiratory hospital admissions", US_national_yearly!$D:$AM, 10, FALSE), 1)</f>
        <v>5.2087026332154913E-4</v>
      </c>
      <c r="K12" s="7">
        <f>$B12 * IFERROR(VLOOKUP("industry|SO2|Respiratory hospital admissions", US_national_yearly!$D:$AM, 19, FALSE) / VLOOKUP("industry|SO2|Respiratory hospital admissions", US_national_yearly!$D:$AM, 10, FALSE), 1)</f>
        <v>5.2398557223139034E-4</v>
      </c>
      <c r="L12" s="7">
        <f>$B12 * IFERROR(VLOOKUP("industry|SO2|Respiratory hospital admissions", US_national_yearly!$D:$AM, 20, FALSE) / VLOOKUP("industry|SO2|Respiratory hospital admissions", US_national_yearly!$D:$AM, 10, FALSE), 1)</f>
        <v>5.2710088114123177E-4</v>
      </c>
      <c r="M12" s="7">
        <f>$B12 * IFERROR(VLOOKUP("industry|SO2|Respiratory hospital admissions", US_national_yearly!$D:$AM, 21, FALSE) / VLOOKUP("industry|SO2|Respiratory hospital admissions", US_national_yearly!$D:$AM, 10, FALSE), 1)</f>
        <v>5.302161900510731E-4</v>
      </c>
      <c r="N12" s="7">
        <f>$B12 * IFERROR(VLOOKUP("industry|SO2|Respiratory hospital admissions", US_national_yearly!$D:$AM, 22, FALSE) / VLOOKUP("industry|SO2|Respiratory hospital admissions", US_national_yearly!$D:$AM, 10, FALSE), 1)</f>
        <v>5.3247047142661362E-4</v>
      </c>
      <c r="O12" s="7">
        <f>$B12 * IFERROR(VLOOKUP("industry|SO2|Respiratory hospital admissions", US_national_yearly!$D:$AM, 23, FALSE) / VLOOKUP("industry|SO2|Respiratory hospital admissions", US_national_yearly!$D:$AM, 10, FALSE), 1)</f>
        <v>5.3472475280215415E-4</v>
      </c>
      <c r="P12" s="7">
        <f>$B12 * IFERROR(VLOOKUP("industry|SO2|Respiratory hospital admissions", US_national_yearly!$D:$AM, 24, FALSE) / VLOOKUP("industry|SO2|Respiratory hospital admissions", US_national_yearly!$D:$AM, 10, FALSE), 1)</f>
        <v>5.3697903417769457E-4</v>
      </c>
      <c r="Q12" s="7">
        <f>$B12 * IFERROR(VLOOKUP("industry|SO2|Respiratory hospital admissions", US_national_yearly!$D:$AM, 25, FALSE) / VLOOKUP("industry|SO2|Respiratory hospital admissions", US_national_yearly!$D:$AM, 10, FALSE), 1)</f>
        <v>5.3923331555323498E-4</v>
      </c>
      <c r="R12" s="7">
        <f>$B12 * IFERROR(VLOOKUP("industry|SO2|Respiratory hospital admissions", US_national_yearly!$D:$AM, 26, FALSE) / VLOOKUP("industry|SO2|Respiratory hospital admissions", US_national_yearly!$D:$AM, 10, FALSE), 1)</f>
        <v>5.414875969287754E-4</v>
      </c>
      <c r="S12" s="7">
        <f>$B12 * IFERROR(VLOOKUP("industry|SO2|Respiratory hospital admissions", US_national_yearly!$D:$AM, 27, FALSE) / VLOOKUP("industry|SO2|Respiratory hospital admissions", US_national_yearly!$D:$AM, 10, FALSE), 1)</f>
        <v>5.4362994679235503E-4</v>
      </c>
      <c r="T12" s="7">
        <f>$B12 * IFERROR(VLOOKUP("industry|SO2|Respiratory hospital admissions", US_national_yearly!$D:$AM, 28, FALSE) / VLOOKUP("industry|SO2|Respiratory hospital admissions", US_national_yearly!$D:$AM, 10, FALSE), 1)</f>
        <v>5.4577229665593455E-4</v>
      </c>
      <c r="U12" s="7">
        <f>$B12 * IFERROR(VLOOKUP("industry|SO2|Respiratory hospital admissions", US_national_yearly!$D:$AM, 29, FALSE) / VLOOKUP("industry|SO2|Respiratory hospital admissions", US_national_yearly!$D:$AM, 10, FALSE), 1)</f>
        <v>5.4791464651951407E-4</v>
      </c>
      <c r="V12" s="7">
        <f>$B12 * IFERROR(VLOOKUP("industry|SO2|Respiratory hospital admissions", US_national_yearly!$D:$AM, 30, FALSE) / VLOOKUP("industry|SO2|Respiratory hospital admissions", US_national_yearly!$D:$AM, 10, FALSE), 1)</f>
        <v>5.5005699638309359E-4</v>
      </c>
      <c r="W12" s="7">
        <f>$B12 * IFERROR(VLOOKUP("industry|SO2|Respiratory hospital admissions", US_national_yearly!$D:$AM, 31, FALSE) / VLOOKUP("industry|SO2|Respiratory hospital admissions", US_national_yearly!$D:$AM, 10, FALSE), 1)</f>
        <v>5.5219934624667311E-4</v>
      </c>
      <c r="X12" s="7">
        <f>$B12 * IFERROR(VLOOKUP("industry|SO2|Respiratory hospital admissions", US_national_yearly!$D:$AM, 32, FALSE) / VLOOKUP("industry|SO2|Respiratory hospital admissions", US_national_yearly!$D:$AM, 10, FALSE), 1)</f>
        <v>5.5423375385926657E-4</v>
      </c>
      <c r="Y12" s="7">
        <f>$B12 * IFERROR(VLOOKUP("industry|SO2|Respiratory hospital admissions", US_national_yearly!$D:$AM, 33, FALSE) / VLOOKUP("industry|SO2|Respiratory hospital admissions", US_national_yearly!$D:$AM, 10, FALSE), 1)</f>
        <v>5.5626816147186014E-4</v>
      </c>
      <c r="Z12" s="7">
        <f>$B12 * IFERROR(VLOOKUP("industry|SO2|Respiratory hospital admissions", US_national_yearly!$D:$AM, 34, FALSE) / VLOOKUP("industry|SO2|Respiratory hospital admissions", US_national_yearly!$D:$AM, 10, FALSE), 1)</f>
        <v>5.583025690844536E-4</v>
      </c>
      <c r="AA12" s="7">
        <f>$B12 * IFERROR(VLOOKUP("industry|SO2|Respiratory hospital admissions", US_national_yearly!$D:$AM, 35, FALSE) / VLOOKUP("industry|SO2|Respiratory hospital admissions", US_national_yearly!$D:$AM, 10, FALSE), 1)</f>
        <v>5.6033697669704695E-4</v>
      </c>
      <c r="AB12" s="7">
        <f>$B12 * IFERROR(VLOOKUP("industry|SO2|Respiratory hospital admissions", US_national_yearly!$D:$AM, 36, FALSE) / VLOOKUP("industry|SO2|Respiratory hospital admissions", US_national_yearly!$D:$AM, 10, FALSE), 1)</f>
        <v>5.6237138430964052E-4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3.5122834015942155E-3</v>
      </c>
      <c r="C13" s="7">
        <f>$B13 * IFERROR(VLOOKUP("industry|SO2|Non-fatal heart attacks", US_national_yearly!$D:$AM, 11, FALSE) / VLOOKUP("industry|SO2|Non-fatal heart attacks", US_national_yearly!$D:$AM, 10, FALSE), 1)</f>
        <v>3.6153908714286571E-3</v>
      </c>
      <c r="D13" s="7">
        <f>$B13 * IFERROR(VLOOKUP("industry|SO2|Non-fatal heart attacks", US_national_yearly!$D:$AM, 12, FALSE) / VLOOKUP("industry|SO2|Non-fatal heart attacks", US_national_yearly!$D:$AM, 10, FALSE), 1)</f>
        <v>3.7184983412630991E-3</v>
      </c>
      <c r="E13" s="7">
        <f>$B13 * IFERROR(VLOOKUP("industry|SO2|Non-fatal heart attacks", US_national_yearly!$D:$AM, 13, FALSE) / VLOOKUP("industry|SO2|Non-fatal heart attacks", US_national_yearly!$D:$AM, 10, FALSE), 1)</f>
        <v>3.8216058110975399E-3</v>
      </c>
      <c r="F13" s="7">
        <f>$B13 * IFERROR(VLOOKUP("industry|SO2|Non-fatal heart attacks", US_national_yearly!$D:$AM, 14, FALSE) / VLOOKUP("industry|SO2|Non-fatal heart attacks", US_national_yearly!$D:$AM, 10, FALSE), 1)</f>
        <v>3.9247132809319824E-3</v>
      </c>
      <c r="G13" s="7">
        <f>$B13 * IFERROR(VLOOKUP("industry|SO2|Non-fatal heart attacks", US_national_yearly!$D:$AM, 15, FALSE) / VLOOKUP("industry|SO2|Non-fatal heart attacks", US_national_yearly!$D:$AM, 10, FALSE), 1)</f>
        <v>4.0220178481247754E-3</v>
      </c>
      <c r="H13" s="7">
        <f>$B13 * IFERROR(VLOOKUP("industry|SO2|Non-fatal heart attacks", US_national_yearly!$D:$AM, 16, FALSE) / VLOOKUP("industry|SO2|Non-fatal heart attacks", US_national_yearly!$D:$AM, 10, FALSE), 1)</f>
        <v>4.1193224153175693E-3</v>
      </c>
      <c r="I13" s="7">
        <f>$B13 * IFERROR(VLOOKUP("industry|SO2|Non-fatal heart attacks", US_national_yearly!$D:$AM, 17, FALSE) / VLOOKUP("industry|SO2|Non-fatal heart attacks", US_national_yearly!$D:$AM, 10, FALSE), 1)</f>
        <v>4.1977667393162969E-3</v>
      </c>
      <c r="J13" s="7">
        <f>$B13 * IFERROR(VLOOKUP("industry|SO2|Non-fatal heart attacks", US_national_yearly!$D:$AM, 18, FALSE) / VLOOKUP("industry|SO2|Non-fatal heart attacks", US_national_yearly!$D:$AM, 10, FALSE), 1)</f>
        <v>4.2762110633150253E-3</v>
      </c>
      <c r="K13" s="7">
        <f>$B13 * IFERROR(VLOOKUP("industry|SO2|Non-fatal heart attacks", US_national_yearly!$D:$AM, 19, FALSE) / VLOOKUP("industry|SO2|Non-fatal heart attacks", US_national_yearly!$D:$AM, 10, FALSE), 1)</f>
        <v>4.3546553873137529E-3</v>
      </c>
      <c r="L13" s="7">
        <f>$B13 * IFERROR(VLOOKUP("industry|SO2|Non-fatal heart attacks", US_national_yearly!$D:$AM, 20, FALSE) / VLOOKUP("industry|SO2|Non-fatal heart attacks", US_national_yearly!$D:$AM, 10, FALSE), 1)</f>
        <v>4.4330997113124805E-3</v>
      </c>
      <c r="M13" s="7">
        <f>$B13 * IFERROR(VLOOKUP("industry|SO2|Non-fatal heart attacks", US_national_yearly!$D:$AM, 21, FALSE) / VLOOKUP("industry|SO2|Non-fatal heart attacks", US_national_yearly!$D:$AM, 10, FALSE), 1)</f>
        <v>4.511544035311209E-3</v>
      </c>
      <c r="N13" s="7">
        <f>$B13 * IFERROR(VLOOKUP("industry|SO2|Non-fatal heart attacks", US_national_yearly!$D:$AM, 22, FALSE) / VLOOKUP("industry|SO2|Non-fatal heart attacks", US_national_yearly!$D:$AM, 10, FALSE), 1)</f>
        <v>4.5625056473742737E-3</v>
      </c>
      <c r="O13" s="7">
        <f>$B13 * IFERROR(VLOOKUP("industry|SO2|Non-fatal heart attacks", US_national_yearly!$D:$AM, 23, FALSE) / VLOOKUP("industry|SO2|Non-fatal heart attacks", US_national_yearly!$D:$AM, 10, FALSE), 1)</f>
        <v>4.613467259437341E-3</v>
      </c>
      <c r="P13" s="7">
        <f>$B13 * IFERROR(VLOOKUP("industry|SO2|Non-fatal heart attacks", US_national_yearly!$D:$AM, 24, FALSE) / VLOOKUP("industry|SO2|Non-fatal heart attacks", US_national_yearly!$D:$AM, 10, FALSE), 1)</f>
        <v>4.6644288715004065E-3</v>
      </c>
      <c r="Q13" s="7">
        <f>$B13 * IFERROR(VLOOKUP("industry|SO2|Non-fatal heart attacks", US_national_yearly!$D:$AM, 25, FALSE) / VLOOKUP("industry|SO2|Non-fatal heart attacks", US_national_yearly!$D:$AM, 10, FALSE), 1)</f>
        <v>4.7153904835634712E-3</v>
      </c>
      <c r="R13" s="7">
        <f>$B13 * IFERROR(VLOOKUP("industry|SO2|Non-fatal heart attacks", US_national_yearly!$D:$AM, 26, FALSE) / VLOOKUP("industry|SO2|Non-fatal heart attacks", US_national_yearly!$D:$AM, 10, FALSE), 1)</f>
        <v>4.7663520956265377E-3</v>
      </c>
      <c r="S13" s="7">
        <f>$B13 * IFERROR(VLOOKUP("industry|SO2|Non-fatal heart attacks", US_national_yearly!$D:$AM, 27, FALSE) / VLOOKUP("industry|SO2|Non-fatal heart attacks", US_national_yearly!$D:$AM, 10, FALSE), 1)</f>
        <v>4.7931178835689831E-3</v>
      </c>
      <c r="T13" s="7">
        <f>$B13 * IFERROR(VLOOKUP("industry|SO2|Non-fatal heart attacks", US_national_yearly!$D:$AM, 28, FALSE) / VLOOKUP("industry|SO2|Non-fatal heart attacks", US_national_yearly!$D:$AM, 10, FALSE), 1)</f>
        <v>4.8198836715114286E-3</v>
      </c>
      <c r="U13" s="7">
        <f>$B13 * IFERROR(VLOOKUP("industry|SO2|Non-fatal heart attacks", US_national_yearly!$D:$AM, 29, FALSE) / VLOOKUP("industry|SO2|Non-fatal heart attacks", US_national_yearly!$D:$AM, 10, FALSE), 1)</f>
        <v>4.846649459453874E-3</v>
      </c>
      <c r="V13" s="7">
        <f>$B13 * IFERROR(VLOOKUP("industry|SO2|Non-fatal heart attacks", US_national_yearly!$D:$AM, 30, FALSE) / VLOOKUP("industry|SO2|Non-fatal heart attacks", US_national_yearly!$D:$AM, 10, FALSE), 1)</f>
        <v>4.8734152473963194E-3</v>
      </c>
      <c r="W13" s="7">
        <f>$B13 * IFERROR(VLOOKUP("industry|SO2|Non-fatal heart attacks", US_national_yearly!$D:$AM, 31, FALSE) / VLOOKUP("industry|SO2|Non-fatal heart attacks", US_national_yearly!$D:$AM, 10, FALSE), 1)</f>
        <v>4.9001810353387649E-3</v>
      </c>
      <c r="X13" s="7">
        <f>$B13 * IFERROR(VLOOKUP("industry|SO2|Non-fatal heart attacks", US_national_yearly!$D:$AM, 32, FALSE) / VLOOKUP("industry|SO2|Non-fatal heart attacks", US_national_yearly!$D:$AM, 10, FALSE), 1)</f>
        <v>4.920508878898085E-3</v>
      </c>
      <c r="Y13" s="7">
        <f>$B13 * IFERROR(VLOOKUP("industry|SO2|Non-fatal heart attacks", US_national_yearly!$D:$AM, 33, FALSE) / VLOOKUP("industry|SO2|Non-fatal heart attacks", US_national_yearly!$D:$AM, 10, FALSE), 1)</f>
        <v>4.9408367224574061E-3</v>
      </c>
      <c r="Z13" s="7">
        <f>$B13 * IFERROR(VLOOKUP("industry|SO2|Non-fatal heart attacks", US_national_yearly!$D:$AM, 34, FALSE) / VLOOKUP("industry|SO2|Non-fatal heart attacks", US_national_yearly!$D:$AM, 10, FALSE), 1)</f>
        <v>4.9611645660167262E-3</v>
      </c>
      <c r="AA13" s="7">
        <f>$B13 * IFERROR(VLOOKUP("industry|SO2|Non-fatal heart attacks", US_national_yearly!$D:$AM, 35, FALSE) / VLOOKUP("industry|SO2|Non-fatal heart attacks", US_national_yearly!$D:$AM, 10, FALSE), 1)</f>
        <v>4.9814924095760481E-3</v>
      </c>
      <c r="AB13" s="7">
        <f>$B13 * IFERROR(VLOOKUP("industry|SO2|Non-fatal heart attacks", US_national_yearly!$D:$AM, 36, FALSE) / VLOOKUP("industry|SO2|Non-fatal heart attacks", US_national_yearly!$D:$AM, 10, FALSE), 1)</f>
        <v>5.0018202531353683E-3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4.4177505315076804</v>
      </c>
      <c r="C14" s="7">
        <f>$B14 * IFERROR(VLOOKUP("industry|SO2|Minor restricted activity days", US_national_yearly!$D:$AM, 11, FALSE) / VLOOKUP("industry|SO2|Minor restricted activity days", US_national_yearly!$D:$AM, 10, FALSE), 1)</f>
        <v>4.4288010442941532</v>
      </c>
      <c r="D14" s="7">
        <f>$B14 * IFERROR(VLOOKUP("industry|SO2|Minor restricted activity days", US_national_yearly!$D:$AM, 12, FALSE) / VLOOKUP("industry|SO2|Minor restricted activity days", US_national_yearly!$D:$AM, 10, FALSE), 1)</f>
        <v>4.4398515570806261</v>
      </c>
      <c r="E14" s="7">
        <f>$B14 * IFERROR(VLOOKUP("industry|SO2|Minor restricted activity days", US_national_yearly!$D:$AM, 13, FALSE) / VLOOKUP("industry|SO2|Minor restricted activity days", US_national_yearly!$D:$AM, 10, FALSE), 1)</f>
        <v>4.4509020698670989</v>
      </c>
      <c r="F14" s="7">
        <f>$B14 * IFERROR(VLOOKUP("industry|SO2|Minor restricted activity days", US_national_yearly!$D:$AM, 14, FALSE) / VLOOKUP("industry|SO2|Minor restricted activity days", US_national_yearly!$D:$AM, 10, FALSE), 1)</f>
        <v>4.4619525826535718</v>
      </c>
      <c r="G14" s="7">
        <f>$B14 * IFERROR(VLOOKUP("industry|SO2|Minor restricted activity days", US_national_yearly!$D:$AM, 15, FALSE) / VLOOKUP("industry|SO2|Minor restricted activity days", US_national_yearly!$D:$AM, 10, FALSE), 1)</f>
        <v>4.4782089399358531</v>
      </c>
      <c r="H14" s="7">
        <f>$B14 * IFERROR(VLOOKUP("industry|SO2|Minor restricted activity days", US_national_yearly!$D:$AM, 16, FALSE) / VLOOKUP("industry|SO2|Minor restricted activity days", US_national_yearly!$D:$AM, 10, FALSE), 1)</f>
        <v>4.4944652972181327</v>
      </c>
      <c r="I14" s="7">
        <f>$B14 * IFERROR(VLOOKUP("industry|SO2|Minor restricted activity days", US_national_yearly!$D:$AM, 17, FALSE) / VLOOKUP("industry|SO2|Minor restricted activity days", US_national_yearly!$D:$AM, 10, FALSE), 1)</f>
        <v>4.522187303561755</v>
      </c>
      <c r="J14" s="7">
        <f>$B14 * IFERROR(VLOOKUP("industry|SO2|Minor restricted activity days", US_national_yearly!$D:$AM, 18, FALSE) / VLOOKUP("industry|SO2|Minor restricted activity days", US_national_yearly!$D:$AM, 10, FALSE), 1)</f>
        <v>4.5499093099053782</v>
      </c>
      <c r="K14" s="7">
        <f>$B14 * IFERROR(VLOOKUP("industry|SO2|Minor restricted activity days", US_national_yearly!$D:$AM, 19, FALSE) / VLOOKUP("industry|SO2|Minor restricted activity days", US_national_yearly!$D:$AM, 10, FALSE), 1)</f>
        <v>4.5776313162490005</v>
      </c>
      <c r="L14" s="7">
        <f>$B14 * IFERROR(VLOOKUP("industry|SO2|Minor restricted activity days", US_national_yearly!$D:$AM, 20, FALSE) / VLOOKUP("industry|SO2|Minor restricted activity days", US_national_yearly!$D:$AM, 10, FALSE), 1)</f>
        <v>4.6053533225926229</v>
      </c>
      <c r="M14" s="7">
        <f>$B14 * IFERROR(VLOOKUP("industry|SO2|Minor restricted activity days", US_national_yearly!$D:$AM, 21, FALSE) / VLOOKUP("industry|SO2|Minor restricted activity days", US_national_yearly!$D:$AM, 10, FALSE), 1)</f>
        <v>4.6330753289362452</v>
      </c>
      <c r="N14" s="7">
        <f>$B14 * IFERROR(VLOOKUP("industry|SO2|Minor restricted activity days", US_national_yearly!$D:$AM, 22, FALSE) / VLOOKUP("industry|SO2|Minor restricted activity days", US_national_yearly!$D:$AM, 10, FALSE), 1)</f>
        <v>4.6710855336819401</v>
      </c>
      <c r="O14" s="7">
        <f>$B14 * IFERROR(VLOOKUP("industry|SO2|Minor restricted activity days", US_national_yearly!$D:$AM, 23, FALSE) / VLOOKUP("industry|SO2|Minor restricted activity days", US_national_yearly!$D:$AM, 10, FALSE), 1)</f>
        <v>4.709095738427636</v>
      </c>
      <c r="P14" s="7">
        <f>$B14 * IFERROR(VLOOKUP("industry|SO2|Minor restricted activity days", US_national_yearly!$D:$AM, 24, FALSE) / VLOOKUP("industry|SO2|Minor restricted activity days", US_national_yearly!$D:$AM, 10, FALSE), 1)</f>
        <v>4.7471059431733309</v>
      </c>
      <c r="Q14" s="7">
        <f>$B14 * IFERROR(VLOOKUP("industry|SO2|Minor restricted activity days", US_national_yearly!$D:$AM, 25, FALSE) / VLOOKUP("industry|SO2|Minor restricted activity days", US_national_yearly!$D:$AM, 10, FALSE), 1)</f>
        <v>4.7851161479190276</v>
      </c>
      <c r="R14" s="7">
        <f>$B14 * IFERROR(VLOOKUP("industry|SO2|Minor restricted activity days", US_national_yearly!$D:$AM, 26, FALSE) / VLOOKUP("industry|SO2|Minor restricted activity days", US_national_yearly!$D:$AM, 10, FALSE), 1)</f>
        <v>4.8231263526647234</v>
      </c>
      <c r="S14" s="7">
        <f>$B14 * IFERROR(VLOOKUP("industry|SO2|Minor restricted activity days", US_national_yearly!$D:$AM, 27, FALSE) / VLOOKUP("industry|SO2|Minor restricted activity days", US_national_yearly!$D:$AM, 10, FALSE), 1)</f>
        <v>4.8619188363872547</v>
      </c>
      <c r="T14" s="7">
        <f>$B14 * IFERROR(VLOOKUP("industry|SO2|Minor restricted activity days", US_national_yearly!$D:$AM, 28, FALSE) / VLOOKUP("industry|SO2|Minor restricted activity days", US_national_yearly!$D:$AM, 10, FALSE), 1)</f>
        <v>4.9007113201097878</v>
      </c>
      <c r="U14" s="7">
        <f>$B14 * IFERROR(VLOOKUP("industry|SO2|Minor restricted activity days", US_national_yearly!$D:$AM, 29, FALSE) / VLOOKUP("industry|SO2|Minor restricted activity days", US_national_yearly!$D:$AM, 10, FALSE), 1)</f>
        <v>4.93950380383232</v>
      </c>
      <c r="V14" s="7">
        <f>$B14 * IFERROR(VLOOKUP("industry|SO2|Minor restricted activity days", US_national_yearly!$D:$AM, 30, FALSE) / VLOOKUP("industry|SO2|Minor restricted activity days", US_national_yearly!$D:$AM, 10, FALSE), 1)</f>
        <v>4.9782962875548531</v>
      </c>
      <c r="W14" s="7">
        <f>$B14 * IFERROR(VLOOKUP("industry|SO2|Minor restricted activity days", US_national_yearly!$D:$AM, 31, FALSE) / VLOOKUP("industry|SO2|Minor restricted activity days", US_national_yearly!$D:$AM, 10, FALSE), 1)</f>
        <v>5.0170887712773844</v>
      </c>
      <c r="X14" s="7">
        <f>$B14 * IFERROR(VLOOKUP("industry|SO2|Minor restricted activity days", US_national_yearly!$D:$AM, 32, FALSE) / VLOOKUP("industry|SO2|Minor restricted activity days", US_national_yearly!$D:$AM, 10, FALSE), 1)</f>
        <v>5.0511986960420998</v>
      </c>
      <c r="Y14" s="7">
        <f>$B14 * IFERROR(VLOOKUP("industry|SO2|Minor restricted activity days", US_national_yearly!$D:$AM, 33, FALSE) / VLOOKUP("industry|SO2|Minor restricted activity days", US_national_yearly!$D:$AM, 10, FALSE), 1)</f>
        <v>5.0853086208068143</v>
      </c>
      <c r="Z14" s="7">
        <f>$B14 * IFERROR(VLOOKUP("industry|SO2|Minor restricted activity days", US_national_yearly!$D:$AM, 34, FALSE) / VLOOKUP("industry|SO2|Minor restricted activity days", US_national_yearly!$D:$AM, 10, FALSE), 1)</f>
        <v>5.1194185455715289</v>
      </c>
      <c r="AA14" s="7">
        <f>$B14 * IFERROR(VLOOKUP("industry|SO2|Minor restricted activity days", US_national_yearly!$D:$AM, 35, FALSE) / VLOOKUP("industry|SO2|Minor restricted activity days", US_national_yearly!$D:$AM, 10, FALSE), 1)</f>
        <v>5.1535284703362425</v>
      </c>
      <c r="AB14" s="7">
        <f>$B14 * IFERROR(VLOOKUP("industry|SO2|Minor restricted activity days", US_national_yearly!$D:$AM, 36, FALSE) / VLOOKUP("industry|SO2|Minor restricted activity days", US_national_yearly!$D:$AM, 10, FALSE), 1)</f>
        <v>5.1876383951009579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0.7567626721496592</v>
      </c>
      <c r="C15" s="7">
        <f>$B15 * IFERROR(VLOOKUP("industry|SO2|Work loss days", US_national_yearly!$D:$AM, 11, FALSE) / VLOOKUP("industry|SO2|Work loss days", US_national_yearly!$D:$AM, 10, FALSE), 1)</f>
        <v>0.75919633540661402</v>
      </c>
      <c r="D15" s="7">
        <f>$B15 * IFERROR(VLOOKUP("industry|SO2|Work loss days", US_national_yearly!$D:$AM, 12, FALSE) / VLOOKUP("industry|SO2|Work loss days", US_national_yearly!$D:$AM, 10, FALSE), 1)</f>
        <v>0.76162999866356906</v>
      </c>
      <c r="E15" s="7">
        <f>$B15 * IFERROR(VLOOKUP("industry|SO2|Work loss days", US_national_yearly!$D:$AM, 13, FALSE) / VLOOKUP("industry|SO2|Work loss days", US_national_yearly!$D:$AM, 10, FALSE), 1)</f>
        <v>0.76406366192052388</v>
      </c>
      <c r="F15" s="7">
        <f>$B15 * IFERROR(VLOOKUP("industry|SO2|Work loss days", US_national_yearly!$D:$AM, 14, FALSE) / VLOOKUP("industry|SO2|Work loss days", US_national_yearly!$D:$AM, 10, FALSE), 1)</f>
        <v>0.76649732517747904</v>
      </c>
      <c r="G15" s="7">
        <f>$B15 * IFERROR(VLOOKUP("industry|SO2|Work loss days", US_national_yearly!$D:$AM, 15, FALSE) / VLOOKUP("industry|SO2|Work loss days", US_national_yearly!$D:$AM, 10, FALSE), 1)</f>
        <v>0.76967391339660463</v>
      </c>
      <c r="H15" s="7">
        <f>$B15 * IFERROR(VLOOKUP("industry|SO2|Work loss days", US_national_yearly!$D:$AM, 16, FALSE) / VLOOKUP("industry|SO2|Work loss days", US_national_yearly!$D:$AM, 10, FALSE), 1)</f>
        <v>0.77285050161573055</v>
      </c>
      <c r="I15" s="7">
        <f>$B15 * IFERROR(VLOOKUP("industry|SO2|Work loss days", US_national_yearly!$D:$AM, 17, FALSE) / VLOOKUP("industry|SO2|Work loss days", US_national_yearly!$D:$AM, 10, FALSE), 1)</f>
        <v>0.77749377847442014</v>
      </c>
      <c r="J15" s="7">
        <f>$B15 * IFERROR(VLOOKUP("industry|SO2|Work loss days", US_national_yearly!$D:$AM, 18, FALSE) / VLOOKUP("industry|SO2|Work loss days", US_national_yearly!$D:$AM, 10, FALSE), 1)</f>
        <v>0.78213705533310962</v>
      </c>
      <c r="K15" s="7">
        <f>$B15 * IFERROR(VLOOKUP("industry|SO2|Work loss days", US_national_yearly!$D:$AM, 19, FALSE) / VLOOKUP("industry|SO2|Work loss days", US_national_yearly!$D:$AM, 10, FALSE), 1)</f>
        <v>0.7867803321917991</v>
      </c>
      <c r="L15" s="7">
        <f>$B15 * IFERROR(VLOOKUP("industry|SO2|Work loss days", US_national_yearly!$D:$AM, 20, FALSE) / VLOOKUP("industry|SO2|Work loss days", US_national_yearly!$D:$AM, 10, FALSE), 1)</f>
        <v>0.79142360905048881</v>
      </c>
      <c r="M15" s="7">
        <f>$B15 * IFERROR(VLOOKUP("industry|SO2|Work loss days", US_national_yearly!$D:$AM, 21, FALSE) / VLOOKUP("industry|SO2|Work loss days", US_national_yearly!$D:$AM, 10, FALSE), 1)</f>
        <v>0.79606688590917818</v>
      </c>
      <c r="N15" s="7">
        <f>$B15 * IFERROR(VLOOKUP("industry|SO2|Work loss days", US_national_yearly!$D:$AM, 22, FALSE) / VLOOKUP("industry|SO2|Work loss days", US_national_yearly!$D:$AM, 10, FALSE), 1)</f>
        <v>0.80190280134043057</v>
      </c>
      <c r="O15" s="7">
        <f>$B15 * IFERROR(VLOOKUP("industry|SO2|Work loss days", US_national_yearly!$D:$AM, 23, FALSE) / VLOOKUP("industry|SO2|Work loss days", US_national_yearly!$D:$AM, 10, FALSE), 1)</f>
        <v>0.80773871677168296</v>
      </c>
      <c r="P15" s="7">
        <f>$B15 * IFERROR(VLOOKUP("industry|SO2|Work loss days", US_national_yearly!$D:$AM, 24, FALSE) / VLOOKUP("industry|SO2|Work loss days", US_national_yearly!$D:$AM, 10, FALSE), 1)</f>
        <v>0.81357463220293535</v>
      </c>
      <c r="Q15" s="7">
        <f>$B15 * IFERROR(VLOOKUP("industry|SO2|Work loss days", US_national_yearly!$D:$AM, 25, FALSE) / VLOOKUP("industry|SO2|Work loss days", US_national_yearly!$D:$AM, 10, FALSE), 1)</f>
        <v>0.81941054763418775</v>
      </c>
      <c r="R15" s="7">
        <f>$B15 * IFERROR(VLOOKUP("industry|SO2|Work loss days", US_national_yearly!$D:$AM, 26, FALSE) / VLOOKUP("industry|SO2|Work loss days", US_national_yearly!$D:$AM, 10, FALSE), 1)</f>
        <v>0.82524646306544014</v>
      </c>
      <c r="S15" s="7">
        <f>$B15 * IFERROR(VLOOKUP("industry|SO2|Work loss days", US_national_yearly!$D:$AM, 27, FALSE) / VLOOKUP("industry|SO2|Work loss days", US_national_yearly!$D:$AM, 10, FALSE), 1)</f>
        <v>0.83177661191964924</v>
      </c>
      <c r="T15" s="7">
        <f>$B15 * IFERROR(VLOOKUP("industry|SO2|Work loss days", US_national_yearly!$D:$AM, 28, FALSE) / VLOOKUP("industry|SO2|Work loss days", US_national_yearly!$D:$AM, 10, FALSE), 1)</f>
        <v>0.83830676077385846</v>
      </c>
      <c r="U15" s="7">
        <f>$B15 * IFERROR(VLOOKUP("industry|SO2|Work loss days", US_national_yearly!$D:$AM, 29, FALSE) / VLOOKUP("industry|SO2|Work loss days", US_national_yearly!$D:$AM, 10, FALSE), 1)</f>
        <v>0.8448369096280679</v>
      </c>
      <c r="V15" s="7">
        <f>$B15 * IFERROR(VLOOKUP("industry|SO2|Work loss days", US_national_yearly!$D:$AM, 30, FALSE) / VLOOKUP("industry|SO2|Work loss days", US_national_yearly!$D:$AM, 10, FALSE), 1)</f>
        <v>0.85136705848227701</v>
      </c>
      <c r="W15" s="7">
        <f>$B15 * IFERROR(VLOOKUP("industry|SO2|Work loss days", US_national_yearly!$D:$AM, 31, FALSE) / VLOOKUP("industry|SO2|Work loss days", US_national_yearly!$D:$AM, 10, FALSE), 1)</f>
        <v>0.85789720733648633</v>
      </c>
      <c r="X15" s="7">
        <f>$B15 * IFERROR(VLOOKUP("industry|SO2|Work loss days", US_national_yearly!$D:$AM, 32, FALSE) / VLOOKUP("industry|SO2|Work loss days", US_national_yearly!$D:$AM, 10, FALSE), 1)</f>
        <v>0.86376241002886878</v>
      </c>
      <c r="Y15" s="7">
        <f>$B15 * IFERROR(VLOOKUP("industry|SO2|Work loss days", US_national_yearly!$D:$AM, 33, FALSE) / VLOOKUP("industry|SO2|Work loss days", US_national_yearly!$D:$AM, 10, FALSE), 1)</f>
        <v>0.86962761272125133</v>
      </c>
      <c r="Z15" s="7">
        <f>$B15 * IFERROR(VLOOKUP("industry|SO2|Work loss days", US_national_yearly!$D:$AM, 34, FALSE) / VLOOKUP("industry|SO2|Work loss days", US_national_yearly!$D:$AM, 10, FALSE), 1)</f>
        <v>0.87549281541363366</v>
      </c>
      <c r="AA15" s="7">
        <f>$B15 * IFERROR(VLOOKUP("industry|SO2|Work loss days", US_national_yearly!$D:$AM, 35, FALSE) / VLOOKUP("industry|SO2|Work loss days", US_national_yearly!$D:$AM, 10, FALSE), 1)</f>
        <v>0.88135801810601633</v>
      </c>
      <c r="AB15" s="7">
        <f>$B15 * IFERROR(VLOOKUP("industry|SO2|Work loss days", US_national_yearly!$D:$AM, 36, FALSE) / VLOOKUP("industry|SO2|Work loss days", US_national_yearly!$D:$AM, 10, FALSE), 1)</f>
        <v>0.88722322079839877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6.568421226338468E-4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6.7670318697561269E-4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6.9656425131737869E-4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7.1642531565914479E-4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7.3628638000091079E-4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7.5532044334541265E-4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7.7435450668991463E-4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7.9068639954632351E-4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8.0701829240273262E-4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8.2335018525914172E-4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8.3968207811555072E-4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8.5601397097195971E-4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8.6698662189236436E-4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8.77959272812769E-4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8.8893192373317353E-4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8.9990457465357818E-4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9.1087722557398282E-4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9.16679137988476E-4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9.224810504029694E-4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9.2828296281746259E-4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9.3408487523195609E-4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9.3988678764644917E-4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9.4381041874213418E-4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9.4773404983781897E-4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9.5165768093350409E-4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9.55581312029189E-4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9.5950494312487379E-4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7.2004502372863358E-5</v>
      </c>
      <c r="C2" s="7">
        <f>$B2 * IFERROR(VLOOKUP("LULUCF|PM25|Premature mortality", US_national_yearly!$D:$AM, 11, FALSE) / VLOOKUP("LULUCF|PM25|Premature mortality", US_national_yearly!$D:$AM, 10, FALSE), 1)</f>
        <v>7.2897200405418338E-5</v>
      </c>
      <c r="D2" s="7">
        <f>$B2 * IFERROR(VLOOKUP("LULUCF|PM25|Premature mortality", US_national_yearly!$D:$AM, 12, FALSE) / VLOOKUP("LULUCF|PM25|Premature mortality", US_national_yearly!$D:$AM, 10, FALSE), 1)</f>
        <v>7.3789898437973291E-5</v>
      </c>
      <c r="E2" s="7">
        <f>$B2 * IFERROR(VLOOKUP("LULUCF|PM25|Premature mortality", US_national_yearly!$D:$AM, 13, FALSE) / VLOOKUP("LULUCF|PM25|Premature mortality", US_national_yearly!$D:$AM, 10, FALSE), 1)</f>
        <v>7.4682596470528257E-5</v>
      </c>
      <c r="F2" s="7">
        <f>$B2 * IFERROR(VLOOKUP("LULUCF|PM25|Premature mortality", US_national_yearly!$D:$AM, 14, FALSE) / VLOOKUP("LULUCF|PM25|Premature mortality", US_national_yearly!$D:$AM, 10, FALSE), 1)</f>
        <v>7.557529450308321E-5</v>
      </c>
      <c r="G2" s="7">
        <f>$B2 * IFERROR(VLOOKUP("LULUCF|PM25|Premature mortality", US_national_yearly!$D:$AM, 15, FALSE) / VLOOKUP("LULUCF|PM25|Premature mortality", US_national_yearly!$D:$AM, 10, FALSE), 1)</f>
        <v>7.7313817188914813E-5</v>
      </c>
      <c r="H2" s="7">
        <f>$B2 * IFERROR(VLOOKUP("LULUCF|PM25|Premature mortality", US_national_yearly!$D:$AM, 16, FALSE) / VLOOKUP("LULUCF|PM25|Premature mortality", US_national_yearly!$D:$AM, 10, FALSE), 1)</f>
        <v>7.9052339874746417E-5</v>
      </c>
      <c r="I2" s="7">
        <f>$B2 * IFERROR(VLOOKUP("LULUCF|PM25|Premature mortality", US_national_yearly!$D:$AM, 17, FALSE) / VLOOKUP("LULUCF|PM25|Premature mortality", US_national_yearly!$D:$AM, 10, FALSE), 1)</f>
        <v>8.0194274758148523E-5</v>
      </c>
      <c r="J2" s="7">
        <f>$B2 * IFERROR(VLOOKUP("LULUCF|PM25|Premature mortality", US_national_yearly!$D:$AM, 18, FALSE) / VLOOKUP("LULUCF|PM25|Premature mortality", US_national_yearly!$D:$AM, 10, FALSE), 1)</f>
        <v>8.1336209641550656E-5</v>
      </c>
      <c r="K2" s="7">
        <f>$B2 * IFERROR(VLOOKUP("LULUCF|PM25|Premature mortality", US_national_yearly!$D:$AM, 19, FALSE) / VLOOKUP("LULUCF|PM25|Premature mortality", US_national_yearly!$D:$AM, 10, FALSE), 1)</f>
        <v>8.2478144524952788E-5</v>
      </c>
      <c r="L2" s="7">
        <f>$B2 * IFERROR(VLOOKUP("LULUCF|PM25|Premature mortality", US_national_yearly!$D:$AM, 20, FALSE) / VLOOKUP("LULUCF|PM25|Premature mortality", US_national_yearly!$D:$AM, 10, FALSE), 1)</f>
        <v>8.3620079408354921E-5</v>
      </c>
      <c r="M2" s="7">
        <f>$B2 * IFERROR(VLOOKUP("LULUCF|PM25|Premature mortality", US_national_yearly!$D:$AM, 21, FALSE) / VLOOKUP("LULUCF|PM25|Premature mortality", US_national_yearly!$D:$AM, 10, FALSE), 1)</f>
        <v>8.476201429175704E-5</v>
      </c>
      <c r="N2" s="7">
        <f>$B2 * IFERROR(VLOOKUP("LULUCF|PM25|Premature mortality", US_national_yearly!$D:$AM, 22, FALSE) / VLOOKUP("LULUCF|PM25|Premature mortality", US_national_yearly!$D:$AM, 10, FALSE), 1)</f>
        <v>8.5648654051370074E-5</v>
      </c>
      <c r="O2" s="7">
        <f>$B2 * IFERROR(VLOOKUP("LULUCF|PM25|Premature mortality", US_national_yearly!$D:$AM, 23, FALSE) / VLOOKUP("LULUCF|PM25|Premature mortality", US_national_yearly!$D:$AM, 10, FALSE), 1)</f>
        <v>8.6535293810983095E-5</v>
      </c>
      <c r="P2" s="7">
        <f>$B2 * IFERROR(VLOOKUP("LULUCF|PM25|Premature mortality", US_national_yearly!$D:$AM, 24, FALSE) / VLOOKUP("LULUCF|PM25|Premature mortality", US_national_yearly!$D:$AM, 10, FALSE), 1)</f>
        <v>8.7421933570596129E-5</v>
      </c>
      <c r="Q2" s="7">
        <f>$B2 * IFERROR(VLOOKUP("LULUCF|PM25|Premature mortality", US_national_yearly!$D:$AM, 25, FALSE) / VLOOKUP("LULUCF|PM25|Premature mortality", US_national_yearly!$D:$AM, 10, FALSE), 1)</f>
        <v>8.830857333020915E-5</v>
      </c>
      <c r="R2" s="7">
        <f>$B2 * IFERROR(VLOOKUP("LULUCF|PM25|Premature mortality", US_national_yearly!$D:$AM, 26, FALSE) / VLOOKUP("LULUCF|PM25|Premature mortality", US_national_yearly!$D:$AM, 10, FALSE), 1)</f>
        <v>8.9195213089822198E-5</v>
      </c>
      <c r="S2" s="7">
        <f>$B2 * IFERROR(VLOOKUP("LULUCF|PM25|Premature mortality", US_national_yearly!$D:$AM, 27, FALSE) / VLOOKUP("LULUCF|PM25|Premature mortality", US_national_yearly!$D:$AM, 10, FALSE), 1)</f>
        <v>8.9664928491519903E-5</v>
      </c>
      <c r="T2" s="7">
        <f>$B2 * IFERROR(VLOOKUP("LULUCF|PM25|Premature mortality", US_national_yearly!$D:$AM, 28, FALSE) / VLOOKUP("LULUCF|PM25|Premature mortality", US_national_yearly!$D:$AM, 10, FALSE), 1)</f>
        <v>9.0134643893217582E-5</v>
      </c>
      <c r="U2" s="7">
        <f>$B2 * IFERROR(VLOOKUP("LULUCF|PM25|Premature mortality", US_national_yearly!$D:$AM, 29, FALSE) / VLOOKUP("LULUCF|PM25|Premature mortality", US_national_yearly!$D:$AM, 10, FALSE), 1)</f>
        <v>9.060435929491526E-5</v>
      </c>
      <c r="V2" s="7">
        <f>$B2 * IFERROR(VLOOKUP("LULUCF|PM25|Premature mortality", US_national_yearly!$D:$AM, 30, FALSE) / VLOOKUP("LULUCF|PM25|Premature mortality", US_national_yearly!$D:$AM, 10, FALSE), 1)</f>
        <v>9.1074074696612952E-5</v>
      </c>
      <c r="W2" s="7">
        <f>$B2 * IFERROR(VLOOKUP("LULUCF|PM25|Premature mortality", US_national_yearly!$D:$AM, 31, FALSE) / VLOOKUP("LULUCF|PM25|Premature mortality", US_national_yearly!$D:$AM, 10, FALSE), 1)</f>
        <v>9.154379009831063E-5</v>
      </c>
      <c r="X2" s="7">
        <f>$B2 * IFERROR(VLOOKUP("LULUCF|PM25|Premature mortality", US_national_yearly!$D:$AM, 32, FALSE) / VLOOKUP("LULUCF|PM25|Premature mortality", US_national_yearly!$D:$AM, 10, FALSE), 1)</f>
        <v>9.1625923469797814E-5</v>
      </c>
      <c r="Y2" s="7">
        <f>$B2 * IFERROR(VLOOKUP("LULUCF|PM25|Premature mortality", US_national_yearly!$D:$AM, 33, FALSE) / VLOOKUP("LULUCF|PM25|Premature mortality", US_national_yearly!$D:$AM, 10, FALSE), 1)</f>
        <v>9.1708056841285012E-5</v>
      </c>
      <c r="Z2" s="7">
        <f>$B2 * IFERROR(VLOOKUP("LULUCF|PM25|Premature mortality", US_national_yearly!$D:$AM, 34, FALSE) / VLOOKUP("LULUCF|PM25|Premature mortality", US_national_yearly!$D:$AM, 10, FALSE), 1)</f>
        <v>9.1790190212772183E-5</v>
      </c>
      <c r="AA2" s="7">
        <f>$B2 * IFERROR(VLOOKUP("LULUCF|PM25|Premature mortality", US_national_yearly!$D:$AM, 35, FALSE) / VLOOKUP("LULUCF|PM25|Premature mortality", US_national_yearly!$D:$AM, 10, FALSE), 1)</f>
        <v>9.1872323584259381E-5</v>
      </c>
      <c r="AB2" s="7">
        <f>$B2 * IFERROR(VLOOKUP("LULUCF|PM25|Premature mortality", US_national_yearly!$D:$AM, 36, FALSE) / VLOOKUP("LULUCF|PM25|Premature mortality", US_national_yearly!$D:$AM, 10, FALSE), 1)</f>
        <v>9.1954456955746565E-5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3.3246462382725191E-7</v>
      </c>
      <c r="C3" s="7">
        <f>$B3 * IFERROR(VLOOKUP("LULUCF|PM25|Infant mortality", US_national_yearly!$D:$AM, 11, FALSE) / VLOOKUP("LULUCF|PM25|Infant mortality", US_national_yearly!$D:$AM, 10, FALSE), 1)</f>
        <v>3.2956583568360994E-7</v>
      </c>
      <c r="D3" s="7">
        <f>$B3 * IFERROR(VLOOKUP("LULUCF|PM25|Infant mortality", US_national_yearly!$D:$AM, 12, FALSE) / VLOOKUP("LULUCF|PM25|Infant mortality", US_national_yearly!$D:$AM, 10, FALSE), 1)</f>
        <v>3.2666704753996792E-7</v>
      </c>
      <c r="E3" s="7">
        <f>$B3 * IFERROR(VLOOKUP("LULUCF|PM25|Infant mortality", US_national_yearly!$D:$AM, 13, FALSE) / VLOOKUP("LULUCF|PM25|Infant mortality", US_national_yearly!$D:$AM, 10, FALSE), 1)</f>
        <v>3.237682593963259E-7</v>
      </c>
      <c r="F3" s="7">
        <f>$B3 * IFERROR(VLOOKUP("LULUCF|PM25|Infant mortality", US_national_yearly!$D:$AM, 14, FALSE) / VLOOKUP("LULUCF|PM25|Infant mortality", US_national_yearly!$D:$AM, 10, FALSE), 1)</f>
        <v>3.2086947125268388E-7</v>
      </c>
      <c r="G3" s="7">
        <f>$B3 * IFERROR(VLOOKUP("LULUCF|PM25|Infant mortality", US_national_yearly!$D:$AM, 15, FALSE) / VLOOKUP("LULUCF|PM25|Infant mortality", US_national_yearly!$D:$AM, 10, FALSE), 1)</f>
        <v>2.133953623186997E-7</v>
      </c>
      <c r="H3" s="7">
        <f>$B3 * IFERROR(VLOOKUP("LULUCF|PM25|Infant mortality", US_national_yearly!$D:$AM, 16, FALSE) / VLOOKUP("LULUCF|PM25|Infant mortality", US_national_yearly!$D:$AM, 10, FALSE), 1)</f>
        <v>1.0592125338471547E-7</v>
      </c>
      <c r="I3" s="7">
        <f>$B3 * IFERROR(VLOOKUP("LULUCF|PM25|Infant mortality", US_national_yearly!$D:$AM, 17, FALSE) / VLOOKUP("LULUCF|PM25|Infant mortality", US_national_yearly!$D:$AM, 10, FALSE), 1)</f>
        <v>1.0522888302753927E-7</v>
      </c>
      <c r="J3" s="7">
        <f>$B3 * IFERROR(VLOOKUP("LULUCF|PM25|Infant mortality", US_national_yearly!$D:$AM, 18, FALSE) / VLOOKUP("LULUCF|PM25|Infant mortality", US_national_yearly!$D:$AM, 10, FALSE), 1)</f>
        <v>1.0453651267036306E-7</v>
      </c>
      <c r="K3" s="7">
        <f>$B3 * IFERROR(VLOOKUP("LULUCF|PM25|Infant mortality", US_national_yearly!$D:$AM, 19, FALSE) / VLOOKUP("LULUCF|PM25|Infant mortality", US_national_yearly!$D:$AM, 10, FALSE), 1)</f>
        <v>1.0384414231318683E-7</v>
      </c>
      <c r="L3" s="7">
        <f>$B3 * IFERROR(VLOOKUP("LULUCF|PM25|Infant mortality", US_national_yearly!$D:$AM, 20, FALSE) / VLOOKUP("LULUCF|PM25|Infant mortality", US_national_yearly!$D:$AM, 10, FALSE), 1)</f>
        <v>1.0315177195601064E-7</v>
      </c>
      <c r="M3" s="7">
        <f>$B3 * IFERROR(VLOOKUP("LULUCF|PM25|Infant mortality", US_national_yearly!$D:$AM, 21, FALSE) / VLOOKUP("LULUCF|PM25|Infant mortality", US_national_yearly!$D:$AM, 10, FALSE), 1)</f>
        <v>1.0245940159883444E-7</v>
      </c>
      <c r="N3" s="7">
        <f>$B3 * IFERROR(VLOOKUP("LULUCF|PM25|Infant mortality", US_national_yearly!$D:$AM, 22, FALSE) / VLOOKUP("LULUCF|PM25|Infant mortality", US_national_yearly!$D:$AM, 10, FALSE), 1)</f>
        <v>1.0202451636164297E-7</v>
      </c>
      <c r="O3" s="7">
        <f>$B3 * IFERROR(VLOOKUP("LULUCF|PM25|Infant mortality", US_national_yearly!$D:$AM, 23, FALSE) / VLOOKUP("LULUCF|PM25|Infant mortality", US_national_yearly!$D:$AM, 10, FALSE), 1)</f>
        <v>1.0158963112445153E-7</v>
      </c>
      <c r="P3" s="7">
        <f>$B3 * IFERROR(VLOOKUP("LULUCF|PM25|Infant mortality", US_national_yearly!$D:$AM, 24, FALSE) / VLOOKUP("LULUCF|PM25|Infant mortality", US_national_yearly!$D:$AM, 10, FALSE), 1)</f>
        <v>1.0115474588726005E-7</v>
      </c>
      <c r="Q3" s="7">
        <f>$B3 * IFERROR(VLOOKUP("LULUCF|PM25|Infant mortality", US_national_yearly!$D:$AM, 25, FALSE) / VLOOKUP("LULUCF|PM25|Infant mortality", US_national_yearly!$D:$AM, 10, FALSE), 1)</f>
        <v>1.007198606500686E-7</v>
      </c>
      <c r="R3" s="7">
        <f>$B3 * IFERROR(VLOOKUP("LULUCF|PM25|Infant mortality", US_national_yearly!$D:$AM, 26, FALSE) / VLOOKUP("LULUCF|PM25|Infant mortality", US_national_yearly!$D:$AM, 10, FALSE), 1)</f>
        <v>1.0028497541287713E-7</v>
      </c>
      <c r="S3" s="7">
        <f>$B3 * IFERROR(VLOOKUP("LULUCF|PM25|Infant mortality", US_national_yearly!$D:$AM, 27, FALSE) / VLOOKUP("LULUCF|PM25|Infant mortality", US_national_yearly!$D:$AM, 10, FALSE), 1)</f>
        <v>9.9742882072794082E-8</v>
      </c>
      <c r="T3" s="7">
        <f>$B3 * IFERROR(VLOOKUP("LULUCF|PM25|Infant mortality", US_national_yearly!$D:$AM, 28, FALSE) / VLOOKUP("LULUCF|PM25|Infant mortality", US_national_yearly!$D:$AM, 10, FALSE), 1)</f>
        <v>9.9200788732711016E-8</v>
      </c>
      <c r="U3" s="7">
        <f>$B3 * IFERROR(VLOOKUP("LULUCF|PM25|Infant mortality", US_national_yearly!$D:$AM, 29, FALSE) / VLOOKUP("LULUCF|PM25|Infant mortality", US_national_yearly!$D:$AM, 10, FALSE), 1)</f>
        <v>9.8658695392627964E-8</v>
      </c>
      <c r="V3" s="7">
        <f>$B3 * IFERROR(VLOOKUP("LULUCF|PM25|Infant mortality", US_national_yearly!$D:$AM, 30, FALSE) / VLOOKUP("LULUCF|PM25|Infant mortality", US_national_yearly!$D:$AM, 10, FALSE), 1)</f>
        <v>9.8116602052544911E-8</v>
      </c>
      <c r="W3" s="7">
        <f>$B3 * IFERROR(VLOOKUP("LULUCF|PM25|Infant mortality", US_national_yearly!$D:$AM, 31, FALSE) / VLOOKUP("LULUCF|PM25|Infant mortality", US_national_yearly!$D:$AM, 10, FALSE), 1)</f>
        <v>9.7574508712461846E-8</v>
      </c>
      <c r="X3" s="7">
        <f>$B3 * IFERROR(VLOOKUP("LULUCF|PM25|Infant mortality", US_national_yearly!$D:$AM, 32, FALSE) / VLOOKUP("LULUCF|PM25|Infant mortality", US_national_yearly!$D:$AM, 10, FALSE), 1)</f>
        <v>9.6990063957867553E-8</v>
      </c>
      <c r="Y3" s="7">
        <f>$B3 * IFERROR(VLOOKUP("LULUCF|PM25|Infant mortality", US_national_yearly!$D:$AM, 33, FALSE) / VLOOKUP("LULUCF|PM25|Infant mortality", US_national_yearly!$D:$AM, 10, FALSE), 1)</f>
        <v>9.6405619203273207E-8</v>
      </c>
      <c r="Z3" s="7">
        <f>$B3 * IFERROR(VLOOKUP("LULUCF|PM25|Infant mortality", US_national_yearly!$D:$AM, 34, FALSE) / VLOOKUP("LULUCF|PM25|Infant mortality", US_national_yearly!$D:$AM, 10, FALSE), 1)</f>
        <v>9.5821174448678902E-8</v>
      </c>
      <c r="AA3" s="7">
        <f>$B3 * IFERROR(VLOOKUP("LULUCF|PM25|Infant mortality", US_national_yearly!$D:$AM, 35, FALSE) / VLOOKUP("LULUCF|PM25|Infant mortality", US_national_yearly!$D:$AM, 10, FALSE), 1)</f>
        <v>9.5236729694084583E-8</v>
      </c>
      <c r="AB3" s="7">
        <f>$B3 * IFERROR(VLOOKUP("LULUCF|PM25|Infant mortality", US_national_yearly!$D:$AM, 36, FALSE) / VLOOKUP("LULUCF|PM25|Infant mortality", US_national_yearly!$D:$AM, 10, FALSE), 1)</f>
        <v>9.465228493949029E-8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3.6166918583950645E-4</v>
      </c>
      <c r="C6" s="7">
        <f>$B6 * IFERROR(VLOOKUP("LULUCF|PM25|Asthma symptoms cough", US_national_yearly!$D:$AM, 11, FALSE) / VLOOKUP("LULUCF|PM25|Asthma symptoms cough", US_national_yearly!$D:$AM, 10, FALSE), 1)</f>
        <v>3.6166918583950645E-4</v>
      </c>
      <c r="D6" s="7">
        <f>$B6 * IFERROR(VLOOKUP("LULUCF|PM25|Asthma symptoms cough", US_national_yearly!$D:$AM, 12, FALSE) / VLOOKUP("LULUCF|PM25|Asthma symptoms cough", US_national_yearly!$D:$AM, 10, FALSE), 1)</f>
        <v>3.6166918583950645E-4</v>
      </c>
      <c r="E6" s="7">
        <f>$B6 * IFERROR(VLOOKUP("LULUCF|PM25|Asthma symptoms cough", US_national_yearly!$D:$AM, 13, FALSE) / VLOOKUP("LULUCF|PM25|Asthma symptoms cough", US_national_yearly!$D:$AM, 10, FALSE), 1)</f>
        <v>3.6166918583950645E-4</v>
      </c>
      <c r="F6" s="7">
        <f>$B6 * IFERROR(VLOOKUP("LULUCF|PM25|Asthma symptoms cough", US_national_yearly!$D:$AM, 14, FALSE) / VLOOKUP("LULUCF|PM25|Asthma symptoms cough", US_national_yearly!$D:$AM, 10, FALSE), 1)</f>
        <v>3.6166918583950645E-4</v>
      </c>
      <c r="G6" s="7">
        <f>$B6 * IFERROR(VLOOKUP("LULUCF|PM25|Asthma symptoms cough", US_national_yearly!$D:$AM, 15, FALSE) / VLOOKUP("LULUCF|PM25|Asthma symptoms cough", US_national_yearly!$D:$AM, 10, FALSE), 1)</f>
        <v>3.6166918583950645E-4</v>
      </c>
      <c r="H6" s="7">
        <f>$B6 * IFERROR(VLOOKUP("LULUCF|PM25|Asthma symptoms cough", US_national_yearly!$D:$AM, 16, FALSE) / VLOOKUP("LULUCF|PM25|Asthma symptoms cough", US_national_yearly!$D:$AM, 10, FALSE), 1)</f>
        <v>3.6166918583950645E-4</v>
      </c>
      <c r="I6" s="7">
        <f>$B6 * IFERROR(VLOOKUP("LULUCF|PM25|Asthma symptoms cough", US_national_yearly!$D:$AM, 17, FALSE) / VLOOKUP("LULUCF|PM25|Asthma symptoms cough", US_national_yearly!$D:$AM, 10, FALSE), 1)</f>
        <v>3.6166918583950645E-4</v>
      </c>
      <c r="J6" s="7">
        <f>$B6 * IFERROR(VLOOKUP("LULUCF|PM25|Asthma symptoms cough", US_national_yearly!$D:$AM, 18, FALSE) / VLOOKUP("LULUCF|PM25|Asthma symptoms cough", US_national_yearly!$D:$AM, 10, FALSE), 1)</f>
        <v>3.6166918583950645E-4</v>
      </c>
      <c r="K6" s="7">
        <f>$B6 * IFERROR(VLOOKUP("LULUCF|PM25|Asthma symptoms cough", US_national_yearly!$D:$AM, 19, FALSE) / VLOOKUP("LULUCF|PM25|Asthma symptoms cough", US_national_yearly!$D:$AM, 10, FALSE), 1)</f>
        <v>3.6166918583950645E-4</v>
      </c>
      <c r="L6" s="7">
        <f>$B6 * IFERROR(VLOOKUP("LULUCF|PM25|Asthma symptoms cough", US_national_yearly!$D:$AM, 20, FALSE) / VLOOKUP("LULUCF|PM25|Asthma symptoms cough", US_national_yearly!$D:$AM, 10, FALSE), 1)</f>
        <v>3.6166918583950645E-4</v>
      </c>
      <c r="M6" s="7">
        <f>$B6 * IFERROR(VLOOKUP("LULUCF|PM25|Asthma symptoms cough", US_national_yearly!$D:$AM, 21, FALSE) / VLOOKUP("LULUCF|PM25|Asthma symptoms cough", US_national_yearly!$D:$AM, 10, FALSE), 1)</f>
        <v>3.6166918583950645E-4</v>
      </c>
      <c r="N6" s="7">
        <f>$B6 * IFERROR(VLOOKUP("LULUCF|PM25|Asthma symptoms cough", US_national_yearly!$D:$AM, 22, FALSE) / VLOOKUP("LULUCF|PM25|Asthma symptoms cough", US_national_yearly!$D:$AM, 10, FALSE), 1)</f>
        <v>3.6166918583950645E-4</v>
      </c>
      <c r="O6" s="7">
        <f>$B6 * IFERROR(VLOOKUP("LULUCF|PM25|Asthma symptoms cough", US_national_yearly!$D:$AM, 23, FALSE) / VLOOKUP("LULUCF|PM25|Asthma symptoms cough", US_national_yearly!$D:$AM, 10, FALSE), 1)</f>
        <v>3.6166918583950645E-4</v>
      </c>
      <c r="P6" s="7">
        <f>$B6 * IFERROR(VLOOKUP("LULUCF|PM25|Asthma symptoms cough", US_national_yearly!$D:$AM, 24, FALSE) / VLOOKUP("LULUCF|PM25|Asthma symptoms cough", US_national_yearly!$D:$AM, 10, FALSE), 1)</f>
        <v>3.6166918583950645E-4</v>
      </c>
      <c r="Q6" s="7">
        <f>$B6 * IFERROR(VLOOKUP("LULUCF|PM25|Asthma symptoms cough", US_national_yearly!$D:$AM, 25, FALSE) / VLOOKUP("LULUCF|PM25|Asthma symptoms cough", US_national_yearly!$D:$AM, 10, FALSE), 1)</f>
        <v>3.6166918583950645E-4</v>
      </c>
      <c r="R6" s="7">
        <f>$B6 * IFERROR(VLOOKUP("LULUCF|PM25|Asthma symptoms cough", US_national_yearly!$D:$AM, 26, FALSE) / VLOOKUP("LULUCF|PM25|Asthma symptoms cough", US_national_yearly!$D:$AM, 10, FALSE), 1)</f>
        <v>3.6166918583950645E-4</v>
      </c>
      <c r="S6" s="7">
        <f>$B6 * IFERROR(VLOOKUP("LULUCF|PM25|Asthma symptoms cough", US_national_yearly!$D:$AM, 27, FALSE) / VLOOKUP("LULUCF|PM25|Asthma symptoms cough", US_national_yearly!$D:$AM, 10, FALSE), 1)</f>
        <v>3.6166918583950645E-4</v>
      </c>
      <c r="T6" s="7">
        <f>$B6 * IFERROR(VLOOKUP("LULUCF|PM25|Asthma symptoms cough", US_national_yearly!$D:$AM, 28, FALSE) / VLOOKUP("LULUCF|PM25|Asthma symptoms cough", US_national_yearly!$D:$AM, 10, FALSE), 1)</f>
        <v>3.6166918583950645E-4</v>
      </c>
      <c r="U6" s="7">
        <f>$B6 * IFERROR(VLOOKUP("LULUCF|PM25|Asthma symptoms cough", US_national_yearly!$D:$AM, 29, FALSE) / VLOOKUP("LULUCF|PM25|Asthma symptoms cough", US_national_yearly!$D:$AM, 10, FALSE), 1)</f>
        <v>3.6166918583950645E-4</v>
      </c>
      <c r="V6" s="7">
        <f>$B6 * IFERROR(VLOOKUP("LULUCF|PM25|Asthma symptoms cough", US_national_yearly!$D:$AM, 30, FALSE) / VLOOKUP("LULUCF|PM25|Asthma symptoms cough", US_national_yearly!$D:$AM, 10, FALSE), 1)</f>
        <v>3.6166918583950645E-4</v>
      </c>
      <c r="W6" s="7">
        <f>$B6 * IFERROR(VLOOKUP("LULUCF|PM25|Asthma symptoms cough", US_national_yearly!$D:$AM, 31, FALSE) / VLOOKUP("LULUCF|PM25|Asthma symptoms cough", US_national_yearly!$D:$AM, 10, FALSE), 1)</f>
        <v>3.6166918583950645E-4</v>
      </c>
      <c r="X6" s="7">
        <f>$B6 * IFERROR(VLOOKUP("LULUCF|PM25|Asthma symptoms cough", US_national_yearly!$D:$AM, 32, FALSE) / VLOOKUP("LULUCF|PM25|Asthma symptoms cough", US_national_yearly!$D:$AM, 10, FALSE), 1)</f>
        <v>3.6166918583950645E-4</v>
      </c>
      <c r="Y6" s="7">
        <f>$B6 * IFERROR(VLOOKUP("LULUCF|PM25|Asthma symptoms cough", US_national_yearly!$D:$AM, 33, FALSE) / VLOOKUP("LULUCF|PM25|Asthma symptoms cough", US_national_yearly!$D:$AM, 10, FALSE), 1)</f>
        <v>3.6166918583950645E-4</v>
      </c>
      <c r="Z6" s="7">
        <f>$B6 * IFERROR(VLOOKUP("LULUCF|PM25|Asthma symptoms cough", US_national_yearly!$D:$AM, 34, FALSE) / VLOOKUP("LULUCF|PM25|Asthma symptoms cough", US_national_yearly!$D:$AM, 10, FALSE), 1)</f>
        <v>3.6166918583950645E-4</v>
      </c>
      <c r="AA6" s="7">
        <f>$B6 * IFERROR(VLOOKUP("LULUCF|PM25|Asthma symptoms cough", US_national_yearly!$D:$AM, 35, FALSE) / VLOOKUP("LULUCF|PM25|Asthma symptoms cough", US_national_yearly!$D:$AM, 10, FALSE), 1)</f>
        <v>3.6166918583950645E-4</v>
      </c>
      <c r="AB6" s="7">
        <f>$B6 * IFERROR(VLOOKUP("LULUCF|PM25|Asthma symptoms cough", US_national_yearly!$D:$AM, 36, FALSE) / VLOOKUP("LULUCF|PM25|Asthma symptoms cough", US_national_yearly!$D:$AM, 10, FALSE), 1)</f>
        <v>3.6166918583950645E-4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4.8703946530589661E-4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4.8703946530589661E-4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4.8703946530589661E-4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4.8703946530589661E-4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4.8703946530589661E-4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4.8703946530589661E-4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4.8703946530589661E-4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4.8703946530589661E-4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4.8703946530589661E-4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4.8703946530589661E-4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4.8703946530589661E-4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4.8703946530589661E-4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4.8703946530589661E-4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4.8703946530589661E-4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4.8703946530589661E-4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4.8703946530589661E-4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4.8703946530589661E-4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4.8703946530589661E-4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4.8703946530589661E-4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4.8703946530589661E-4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4.8703946530589661E-4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4.8703946530589661E-4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4.8703946530589661E-4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4.8703946530589661E-4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4.8703946530589661E-4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4.8703946530589661E-4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4.8703946530589661E-4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7.4411580657431282E-4</v>
      </c>
      <c r="C8" s="7">
        <f>$B8 * IFERROR(VLOOKUP("LULUCF|PM25|Asthma symptoms wheeze", US_national_yearly!$D:$AM, 11, FALSE) / VLOOKUP("LULUCF|PM25|Asthma symptoms wheeze", US_national_yearly!$D:$AM, 10, FALSE), 1)</f>
        <v>7.4411580657431282E-4</v>
      </c>
      <c r="D8" s="7">
        <f>$B8 * IFERROR(VLOOKUP("LULUCF|PM25|Asthma symptoms wheeze", US_national_yearly!$D:$AM, 12, FALSE) / VLOOKUP("LULUCF|PM25|Asthma symptoms wheeze", US_national_yearly!$D:$AM, 10, FALSE), 1)</f>
        <v>7.4411580657431282E-4</v>
      </c>
      <c r="E8" s="7">
        <f>$B8 * IFERROR(VLOOKUP("LULUCF|PM25|Asthma symptoms wheeze", US_national_yearly!$D:$AM, 13, FALSE) / VLOOKUP("LULUCF|PM25|Asthma symptoms wheeze", US_national_yearly!$D:$AM, 10, FALSE), 1)</f>
        <v>7.4411580657431282E-4</v>
      </c>
      <c r="F8" s="7">
        <f>$B8 * IFERROR(VLOOKUP("LULUCF|PM25|Asthma symptoms wheeze", US_national_yearly!$D:$AM, 14, FALSE) / VLOOKUP("LULUCF|PM25|Asthma symptoms wheeze", US_national_yearly!$D:$AM, 10, FALSE), 1)</f>
        <v>7.4411580657431282E-4</v>
      </c>
      <c r="G8" s="7">
        <f>$B8 * IFERROR(VLOOKUP("LULUCF|PM25|Asthma symptoms wheeze", US_national_yearly!$D:$AM, 15, FALSE) / VLOOKUP("LULUCF|PM25|Asthma symptoms wheeze", US_national_yearly!$D:$AM, 10, FALSE), 1)</f>
        <v>7.4411580657431282E-4</v>
      </c>
      <c r="H8" s="7">
        <f>$B8 * IFERROR(VLOOKUP("LULUCF|PM25|Asthma symptoms wheeze", US_national_yearly!$D:$AM, 16, FALSE) / VLOOKUP("LULUCF|PM25|Asthma symptoms wheeze", US_national_yearly!$D:$AM, 10, FALSE), 1)</f>
        <v>7.4411580657431282E-4</v>
      </c>
      <c r="I8" s="7">
        <f>$B8 * IFERROR(VLOOKUP("LULUCF|PM25|Asthma symptoms wheeze", US_national_yearly!$D:$AM, 17, FALSE) / VLOOKUP("LULUCF|PM25|Asthma symptoms wheeze", US_national_yearly!$D:$AM, 10, FALSE), 1)</f>
        <v>7.4411580657431282E-4</v>
      </c>
      <c r="J8" s="7">
        <f>$B8 * IFERROR(VLOOKUP("LULUCF|PM25|Asthma symptoms wheeze", US_national_yearly!$D:$AM, 18, FALSE) / VLOOKUP("LULUCF|PM25|Asthma symptoms wheeze", US_national_yearly!$D:$AM, 10, FALSE), 1)</f>
        <v>7.4411580657431282E-4</v>
      </c>
      <c r="K8" s="7">
        <f>$B8 * IFERROR(VLOOKUP("LULUCF|PM25|Asthma symptoms wheeze", US_national_yearly!$D:$AM, 19, FALSE) / VLOOKUP("LULUCF|PM25|Asthma symptoms wheeze", US_national_yearly!$D:$AM, 10, FALSE), 1)</f>
        <v>7.4411580657431282E-4</v>
      </c>
      <c r="L8" s="7">
        <f>$B8 * IFERROR(VLOOKUP("LULUCF|PM25|Asthma symptoms wheeze", US_national_yearly!$D:$AM, 20, FALSE) / VLOOKUP("LULUCF|PM25|Asthma symptoms wheeze", US_national_yearly!$D:$AM, 10, FALSE), 1)</f>
        <v>7.4411580657431282E-4</v>
      </c>
      <c r="M8" s="7">
        <f>$B8 * IFERROR(VLOOKUP("LULUCF|PM25|Asthma symptoms wheeze", US_national_yearly!$D:$AM, 21, FALSE) / VLOOKUP("LULUCF|PM25|Asthma symptoms wheeze", US_national_yearly!$D:$AM, 10, FALSE), 1)</f>
        <v>7.4411580657431282E-4</v>
      </c>
      <c r="N8" s="7">
        <f>$B8 * IFERROR(VLOOKUP("LULUCF|PM25|Asthma symptoms wheeze", US_national_yearly!$D:$AM, 22, FALSE) / VLOOKUP("LULUCF|PM25|Asthma symptoms wheeze", US_national_yearly!$D:$AM, 10, FALSE), 1)</f>
        <v>7.4411580657431282E-4</v>
      </c>
      <c r="O8" s="7">
        <f>$B8 * IFERROR(VLOOKUP("LULUCF|PM25|Asthma symptoms wheeze", US_national_yearly!$D:$AM, 23, FALSE) / VLOOKUP("LULUCF|PM25|Asthma symptoms wheeze", US_national_yearly!$D:$AM, 10, FALSE), 1)</f>
        <v>7.4411580657431282E-4</v>
      </c>
      <c r="P8" s="7">
        <f>$B8 * IFERROR(VLOOKUP("LULUCF|PM25|Asthma symptoms wheeze", US_national_yearly!$D:$AM, 24, FALSE) / VLOOKUP("LULUCF|PM25|Asthma symptoms wheeze", US_national_yearly!$D:$AM, 10, FALSE), 1)</f>
        <v>7.4411580657431282E-4</v>
      </c>
      <c r="Q8" s="7">
        <f>$B8 * IFERROR(VLOOKUP("LULUCF|PM25|Asthma symptoms wheeze", US_national_yearly!$D:$AM, 25, FALSE) / VLOOKUP("LULUCF|PM25|Asthma symptoms wheeze", US_national_yearly!$D:$AM, 10, FALSE), 1)</f>
        <v>7.4411580657431282E-4</v>
      </c>
      <c r="R8" s="7">
        <f>$B8 * IFERROR(VLOOKUP("LULUCF|PM25|Asthma symptoms wheeze", US_national_yearly!$D:$AM, 26, FALSE) / VLOOKUP("LULUCF|PM25|Asthma symptoms wheeze", US_national_yearly!$D:$AM, 10, FALSE), 1)</f>
        <v>7.4411580657431282E-4</v>
      </c>
      <c r="S8" s="7">
        <f>$B8 * IFERROR(VLOOKUP("LULUCF|PM25|Asthma symptoms wheeze", US_national_yearly!$D:$AM, 27, FALSE) / VLOOKUP("LULUCF|PM25|Asthma symptoms wheeze", US_national_yearly!$D:$AM, 10, FALSE), 1)</f>
        <v>7.4411580657431282E-4</v>
      </c>
      <c r="T8" s="7">
        <f>$B8 * IFERROR(VLOOKUP("LULUCF|PM25|Asthma symptoms wheeze", US_national_yearly!$D:$AM, 28, FALSE) / VLOOKUP("LULUCF|PM25|Asthma symptoms wheeze", US_national_yearly!$D:$AM, 10, FALSE), 1)</f>
        <v>7.4411580657431282E-4</v>
      </c>
      <c r="U8" s="7">
        <f>$B8 * IFERROR(VLOOKUP("LULUCF|PM25|Asthma symptoms wheeze", US_national_yearly!$D:$AM, 29, FALSE) / VLOOKUP("LULUCF|PM25|Asthma symptoms wheeze", US_national_yearly!$D:$AM, 10, FALSE), 1)</f>
        <v>7.4411580657431282E-4</v>
      </c>
      <c r="V8" s="7">
        <f>$B8 * IFERROR(VLOOKUP("LULUCF|PM25|Asthma symptoms wheeze", US_national_yearly!$D:$AM, 30, FALSE) / VLOOKUP("LULUCF|PM25|Asthma symptoms wheeze", US_national_yearly!$D:$AM, 10, FALSE), 1)</f>
        <v>7.4411580657431282E-4</v>
      </c>
      <c r="W8" s="7">
        <f>$B8 * IFERROR(VLOOKUP("LULUCF|PM25|Asthma symptoms wheeze", US_national_yearly!$D:$AM, 31, FALSE) / VLOOKUP("LULUCF|PM25|Asthma symptoms wheeze", US_national_yearly!$D:$AM, 10, FALSE), 1)</f>
        <v>7.4411580657431282E-4</v>
      </c>
      <c r="X8" s="7">
        <f>$B8 * IFERROR(VLOOKUP("LULUCF|PM25|Asthma symptoms wheeze", US_national_yearly!$D:$AM, 32, FALSE) / VLOOKUP("LULUCF|PM25|Asthma symptoms wheeze", US_national_yearly!$D:$AM, 10, FALSE), 1)</f>
        <v>7.4411580657431282E-4</v>
      </c>
      <c r="Y8" s="7">
        <f>$B8 * IFERROR(VLOOKUP("LULUCF|PM25|Asthma symptoms wheeze", US_national_yearly!$D:$AM, 33, FALSE) / VLOOKUP("LULUCF|PM25|Asthma symptoms wheeze", US_national_yearly!$D:$AM, 10, FALSE), 1)</f>
        <v>7.4411580657431282E-4</v>
      </c>
      <c r="Z8" s="7">
        <f>$B8 * IFERROR(VLOOKUP("LULUCF|PM25|Asthma symptoms wheeze", US_national_yearly!$D:$AM, 34, FALSE) / VLOOKUP("LULUCF|PM25|Asthma symptoms wheeze", US_national_yearly!$D:$AM, 10, FALSE), 1)</f>
        <v>7.4411580657431282E-4</v>
      </c>
      <c r="AA8" s="7">
        <f>$B8 * IFERROR(VLOOKUP("LULUCF|PM25|Asthma symptoms wheeze", US_national_yearly!$D:$AM, 35, FALSE) / VLOOKUP("LULUCF|PM25|Asthma symptoms wheeze", US_national_yearly!$D:$AM, 10, FALSE), 1)</f>
        <v>7.4411580657431282E-4</v>
      </c>
      <c r="AB8" s="7">
        <f>$B8 * IFERROR(VLOOKUP("LULUCF|PM25|Asthma symptoms wheeze", US_national_yearly!$D:$AM, 36, FALSE) / VLOOKUP("LULUCF|PM25|Asthma symptoms wheeze", US_national_yearly!$D:$AM, 10, FALSE), 1)</f>
        <v>7.4411580657431282E-4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3.9599226976726708E-6</v>
      </c>
      <c r="C12" s="7">
        <f>$B12 * IFERROR(VLOOKUP("LULUCF|PM25|Respiratory hospital admissions", US_national_yearly!$D:$AM, 11, FALSE) / VLOOKUP("LULUCF|PM25|Respiratory hospital admissions", US_national_yearly!$D:$AM, 10, FALSE), 1)</f>
        <v>3.9826193785013567E-6</v>
      </c>
      <c r="D12" s="7">
        <f>$B12 * IFERROR(VLOOKUP("LULUCF|PM25|Respiratory hospital admissions", US_national_yearly!$D:$AM, 12, FALSE) / VLOOKUP("LULUCF|PM25|Respiratory hospital admissions", US_national_yearly!$D:$AM, 10, FALSE), 1)</f>
        <v>4.0053160593300408E-6</v>
      </c>
      <c r="E12" s="7">
        <f>$B12 * IFERROR(VLOOKUP("LULUCF|PM25|Respiratory hospital admissions", US_national_yearly!$D:$AM, 13, FALSE) / VLOOKUP("LULUCF|PM25|Respiratory hospital admissions", US_national_yearly!$D:$AM, 10, FALSE), 1)</f>
        <v>4.0280127401587266E-6</v>
      </c>
      <c r="F12" s="7">
        <f>$B12 * IFERROR(VLOOKUP("LULUCF|PM25|Respiratory hospital admissions", US_national_yearly!$D:$AM, 14, FALSE) / VLOOKUP("LULUCF|PM25|Respiratory hospital admissions", US_national_yearly!$D:$AM, 10, FALSE), 1)</f>
        <v>4.0507094209874108E-6</v>
      </c>
      <c r="G12" s="7">
        <f>$B12 * IFERROR(VLOOKUP("LULUCF|PM25|Respiratory hospital admissions", US_national_yearly!$D:$AM, 15, FALSE) / VLOOKUP("LULUCF|PM25|Respiratory hospital admissions", US_national_yearly!$D:$AM, 10, FALSE), 1)</f>
        <v>4.0752228044155684E-6</v>
      </c>
      <c r="H12" s="7">
        <f>$B12 * IFERROR(VLOOKUP("LULUCF|PM25|Respiratory hospital admissions", US_national_yearly!$D:$AM, 16, FALSE) / VLOOKUP("LULUCF|PM25|Respiratory hospital admissions", US_national_yearly!$D:$AM, 10, FALSE), 1)</f>
        <v>4.0997361878437261E-6</v>
      </c>
      <c r="I12" s="7">
        <f>$B12 * IFERROR(VLOOKUP("LULUCF|PM25|Respiratory hospital admissions", US_national_yearly!$D:$AM, 17, FALSE) / VLOOKUP("LULUCF|PM25|Respiratory hospital admissions", US_national_yearly!$D:$AM, 10, FALSE), 1)</f>
        <v>4.1231577943598033E-6</v>
      </c>
      <c r="J12" s="7">
        <f>$B12 * IFERROR(VLOOKUP("LULUCF|PM25|Respiratory hospital admissions", US_national_yearly!$D:$AM, 18, FALSE) / VLOOKUP("LULUCF|PM25|Respiratory hospital admissions", US_national_yearly!$D:$AM, 10, FALSE), 1)</f>
        <v>4.1465794008758829E-6</v>
      </c>
      <c r="K12" s="7">
        <f>$B12 * IFERROR(VLOOKUP("LULUCF|PM25|Respiratory hospital admissions", US_national_yearly!$D:$AM, 19, FALSE) / VLOOKUP("LULUCF|PM25|Respiratory hospital admissions", US_national_yearly!$D:$AM, 10, FALSE), 1)</f>
        <v>4.1700010073919609E-6</v>
      </c>
      <c r="L12" s="7">
        <f>$B12 * IFERROR(VLOOKUP("LULUCF|PM25|Respiratory hospital admissions", US_national_yearly!$D:$AM, 20, FALSE) / VLOOKUP("LULUCF|PM25|Respiratory hospital admissions", US_national_yearly!$D:$AM, 10, FALSE), 1)</f>
        <v>4.1934226139080406E-6</v>
      </c>
      <c r="M12" s="7">
        <f>$B12 * IFERROR(VLOOKUP("LULUCF|PM25|Respiratory hospital admissions", US_national_yearly!$D:$AM, 21, FALSE) / VLOOKUP("LULUCF|PM25|Respiratory hospital admissions", US_national_yearly!$D:$AM, 10, FALSE), 1)</f>
        <v>4.2168442204241178E-6</v>
      </c>
      <c r="N12" s="7">
        <f>$B12 * IFERROR(VLOOKUP("LULUCF|PM25|Respiratory hospital admissions", US_national_yearly!$D:$AM, 22, FALSE) / VLOOKUP("LULUCF|PM25|Respiratory hospital admissions", US_national_yearly!$D:$AM, 10, FALSE), 1)</f>
        <v>4.2336545909060242E-6</v>
      </c>
      <c r="O12" s="7">
        <f>$B12 * IFERROR(VLOOKUP("LULUCF|PM25|Respiratory hospital admissions", US_national_yearly!$D:$AM, 23, FALSE) / VLOOKUP("LULUCF|PM25|Respiratory hospital admissions", US_national_yearly!$D:$AM, 10, FALSE), 1)</f>
        <v>4.2504649613879297E-6</v>
      </c>
      <c r="P12" s="7">
        <f>$B12 * IFERROR(VLOOKUP("LULUCF|PM25|Respiratory hospital admissions", US_national_yearly!$D:$AM, 24, FALSE) / VLOOKUP("LULUCF|PM25|Respiratory hospital admissions", US_national_yearly!$D:$AM, 10, FALSE), 1)</f>
        <v>4.2672753318698344E-6</v>
      </c>
      <c r="Q12" s="7">
        <f>$B12 * IFERROR(VLOOKUP("LULUCF|PM25|Respiratory hospital admissions", US_national_yearly!$D:$AM, 25, FALSE) / VLOOKUP("LULUCF|PM25|Respiratory hospital admissions", US_national_yearly!$D:$AM, 10, FALSE), 1)</f>
        <v>4.28408570235174E-6</v>
      </c>
      <c r="R12" s="7">
        <f>$B12 * IFERROR(VLOOKUP("LULUCF|PM25|Respiratory hospital admissions", US_national_yearly!$D:$AM, 26, FALSE) / VLOOKUP("LULUCF|PM25|Respiratory hospital admissions", US_national_yearly!$D:$AM, 10, FALSE), 1)</f>
        <v>4.3008960728336464E-6</v>
      </c>
      <c r="S12" s="7">
        <f>$B12 * IFERROR(VLOOKUP("LULUCF|PM25|Respiratory hospital admissions", US_national_yearly!$D:$AM, 27, FALSE) / VLOOKUP("LULUCF|PM25|Respiratory hospital admissions", US_national_yearly!$D:$AM, 10, FALSE), 1)</f>
        <v>4.3169017605991349E-6</v>
      </c>
      <c r="T12" s="7">
        <f>$B12 * IFERROR(VLOOKUP("LULUCF|PM25|Respiratory hospital admissions", US_national_yearly!$D:$AM, 28, FALSE) / VLOOKUP("LULUCF|PM25|Respiratory hospital admissions", US_national_yearly!$D:$AM, 10, FALSE), 1)</f>
        <v>4.3329074483646235E-6</v>
      </c>
      <c r="U12" s="7">
        <f>$B12 * IFERROR(VLOOKUP("LULUCF|PM25|Respiratory hospital admissions", US_national_yearly!$D:$AM, 29, FALSE) / VLOOKUP("LULUCF|PM25|Respiratory hospital admissions", US_national_yearly!$D:$AM, 10, FALSE), 1)</f>
        <v>4.3489131361301121E-6</v>
      </c>
      <c r="V12" s="7">
        <f>$B12 * IFERROR(VLOOKUP("LULUCF|PM25|Respiratory hospital admissions", US_national_yearly!$D:$AM, 30, FALSE) / VLOOKUP("LULUCF|PM25|Respiratory hospital admissions", US_national_yearly!$D:$AM, 10, FALSE), 1)</f>
        <v>4.3649188238955998E-6</v>
      </c>
      <c r="W12" s="7">
        <f>$B12 * IFERROR(VLOOKUP("LULUCF|PM25|Respiratory hospital admissions", US_national_yearly!$D:$AM, 31, FALSE) / VLOOKUP("LULUCF|PM25|Respiratory hospital admissions", US_national_yearly!$D:$AM, 10, FALSE), 1)</f>
        <v>4.3809245116610884E-6</v>
      </c>
      <c r="X12" s="7">
        <f>$B12 * IFERROR(VLOOKUP("LULUCF|PM25|Respiratory hospital admissions", US_national_yearly!$D:$AM, 32, FALSE) / VLOOKUP("LULUCF|PM25|Respiratory hospital admissions", US_national_yearly!$D:$AM, 10, FALSE), 1)</f>
        <v>4.3963221874627653E-6</v>
      </c>
      <c r="Y12" s="7">
        <f>$B12 * IFERROR(VLOOKUP("LULUCF|PM25|Respiratory hospital admissions", US_national_yearly!$D:$AM, 33, FALSE) / VLOOKUP("LULUCF|PM25|Respiratory hospital admissions", US_national_yearly!$D:$AM, 10, FALSE), 1)</f>
        <v>4.4117198632644397E-6</v>
      </c>
      <c r="Z12" s="7">
        <f>$B12 * IFERROR(VLOOKUP("LULUCF|PM25|Respiratory hospital admissions", US_national_yearly!$D:$AM, 34, FALSE) / VLOOKUP("LULUCF|PM25|Respiratory hospital admissions", US_national_yearly!$D:$AM, 10, FALSE), 1)</f>
        <v>4.4271175390661157E-6</v>
      </c>
      <c r="AA12" s="7">
        <f>$B12 * IFERROR(VLOOKUP("LULUCF|PM25|Respiratory hospital admissions", US_national_yearly!$D:$AM, 35, FALSE) / VLOOKUP("LULUCF|PM25|Respiratory hospital admissions", US_national_yearly!$D:$AM, 10, FALSE), 1)</f>
        <v>4.4425152148677909E-6</v>
      </c>
      <c r="AB12" s="7">
        <f>$B12 * IFERROR(VLOOKUP("LULUCF|PM25|Respiratory hospital admissions", US_national_yearly!$D:$AM, 36, FALSE) / VLOOKUP("LULUCF|PM25|Respiratory hospital admissions", US_national_yearly!$D:$AM, 10, FALSE), 1)</f>
        <v>4.457912890669467E-6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2.7662957442365035E-5</v>
      </c>
      <c r="C13" s="7">
        <f>$B13 * IFERROR(VLOOKUP("LULUCF|PM25|Non-fatal heart attacks", US_national_yearly!$D:$AM, 11, FALSE) / VLOOKUP("LULUCF|PM25|Non-fatal heart attacks", US_national_yearly!$D:$AM, 10, FALSE), 1)</f>
        <v>2.8467193024301973E-5</v>
      </c>
      <c r="D13" s="7">
        <f>$B13 * IFERROR(VLOOKUP("LULUCF|PM25|Non-fatal heart attacks", US_national_yearly!$D:$AM, 12, FALSE) / VLOOKUP("LULUCF|PM25|Non-fatal heart attacks", US_national_yearly!$D:$AM, 10, FALSE), 1)</f>
        <v>2.9271428606238911E-5</v>
      </c>
      <c r="E13" s="7">
        <f>$B13 * IFERROR(VLOOKUP("LULUCF|PM25|Non-fatal heart attacks", US_national_yearly!$D:$AM, 13, FALSE) / VLOOKUP("LULUCF|PM25|Non-fatal heart attacks", US_national_yearly!$D:$AM, 10, FALSE), 1)</f>
        <v>3.0075664188175846E-5</v>
      </c>
      <c r="F13" s="7">
        <f>$B13 * IFERROR(VLOOKUP("LULUCF|PM25|Non-fatal heart attacks", US_national_yearly!$D:$AM, 14, FALSE) / VLOOKUP("LULUCF|PM25|Non-fatal heart attacks", US_national_yearly!$D:$AM, 10, FALSE), 1)</f>
        <v>3.0879899770112787E-5</v>
      </c>
      <c r="G13" s="7">
        <f>$B13 * IFERROR(VLOOKUP("LULUCF|PM25|Non-fatal heart attacks", US_national_yearly!$D:$AM, 15, FALSE) / VLOOKUP("LULUCF|PM25|Non-fatal heart attacks", US_national_yearly!$D:$AM, 10, FALSE), 1)</f>
        <v>3.1638344766667117E-5</v>
      </c>
      <c r="H13" s="7">
        <f>$B13 * IFERROR(VLOOKUP("LULUCF|PM25|Non-fatal heart attacks", US_national_yearly!$D:$AM, 16, FALSE) / VLOOKUP("LULUCF|PM25|Non-fatal heart attacks", US_national_yearly!$D:$AM, 10, FALSE), 1)</f>
        <v>3.239678976322144E-5</v>
      </c>
      <c r="I13" s="7">
        <f>$B13 * IFERROR(VLOOKUP("LULUCF|PM25|Non-fatal heart attacks", US_national_yearly!$D:$AM, 17, FALSE) / VLOOKUP("LULUCF|PM25|Non-fatal heart attacks", US_national_yearly!$D:$AM, 10, FALSE), 1)</f>
        <v>3.3006327164082049E-5</v>
      </c>
      <c r="J13" s="7">
        <f>$B13 * IFERROR(VLOOKUP("LULUCF|PM25|Non-fatal heart attacks", US_national_yearly!$D:$AM, 18, FALSE) / VLOOKUP("LULUCF|PM25|Non-fatal heart attacks", US_national_yearly!$D:$AM, 10, FALSE), 1)</f>
        <v>3.361586456494265E-5</v>
      </c>
      <c r="K13" s="7">
        <f>$B13 * IFERROR(VLOOKUP("LULUCF|PM25|Non-fatal heart attacks", US_national_yearly!$D:$AM, 19, FALSE) / VLOOKUP("LULUCF|PM25|Non-fatal heart attacks", US_national_yearly!$D:$AM, 10, FALSE), 1)</f>
        <v>3.4225401965803265E-5</v>
      </c>
      <c r="L13" s="7">
        <f>$B13 * IFERROR(VLOOKUP("LULUCF|PM25|Non-fatal heart attacks", US_national_yearly!$D:$AM, 20, FALSE) / VLOOKUP("LULUCF|PM25|Non-fatal heart attacks", US_national_yearly!$D:$AM, 10, FALSE), 1)</f>
        <v>3.4834939366663874E-5</v>
      </c>
      <c r="M13" s="7">
        <f>$B13 * IFERROR(VLOOKUP("LULUCF|PM25|Non-fatal heart attacks", US_national_yearly!$D:$AM, 21, FALSE) / VLOOKUP("LULUCF|PM25|Non-fatal heart attacks", US_national_yearly!$D:$AM, 10, FALSE), 1)</f>
        <v>3.5444476767524489E-5</v>
      </c>
      <c r="N13" s="7">
        <f>$B13 * IFERROR(VLOOKUP("LULUCF|PM25|Non-fatal heart attacks", US_national_yearly!$D:$AM, 22, FALSE) / VLOOKUP("LULUCF|PM25|Non-fatal heart attacks", US_national_yearly!$D:$AM, 10, FALSE), 1)</f>
        <v>3.5837568202016555E-5</v>
      </c>
      <c r="O13" s="7">
        <f>$B13 * IFERROR(VLOOKUP("LULUCF|PM25|Non-fatal heart attacks", US_national_yearly!$D:$AM, 23, FALSE) / VLOOKUP("LULUCF|PM25|Non-fatal heart attacks", US_national_yearly!$D:$AM, 10, FALSE), 1)</f>
        <v>3.623065963650862E-5</v>
      </c>
      <c r="P13" s="7">
        <f>$B13 * IFERROR(VLOOKUP("LULUCF|PM25|Non-fatal heart attacks", US_national_yearly!$D:$AM, 24, FALSE) / VLOOKUP("LULUCF|PM25|Non-fatal heart attacks", US_national_yearly!$D:$AM, 10, FALSE), 1)</f>
        <v>3.6623751071000693E-5</v>
      </c>
      <c r="Q13" s="7">
        <f>$B13 * IFERROR(VLOOKUP("LULUCF|PM25|Non-fatal heart attacks", US_national_yearly!$D:$AM, 25, FALSE) / VLOOKUP("LULUCF|PM25|Non-fatal heart attacks", US_national_yearly!$D:$AM, 10, FALSE), 1)</f>
        <v>3.7016842505492752E-5</v>
      </c>
      <c r="R13" s="7">
        <f>$B13 * IFERROR(VLOOKUP("LULUCF|PM25|Non-fatal heart attacks", US_national_yearly!$D:$AM, 26, FALSE) / VLOOKUP("LULUCF|PM25|Non-fatal heart attacks", US_national_yearly!$D:$AM, 10, FALSE), 1)</f>
        <v>3.7409933939984824E-5</v>
      </c>
      <c r="S13" s="7">
        <f>$B13 * IFERROR(VLOOKUP("LULUCF|PM25|Non-fatal heart attacks", US_national_yearly!$D:$AM, 27, FALSE) / VLOOKUP("LULUCF|PM25|Non-fatal heart attacks", US_national_yearly!$D:$AM, 10, FALSE), 1)</f>
        <v>3.7616947119924921E-5</v>
      </c>
      <c r="T13" s="7">
        <f>$B13 * IFERROR(VLOOKUP("LULUCF|PM25|Non-fatal heart attacks", US_national_yearly!$D:$AM, 28, FALSE) / VLOOKUP("LULUCF|PM25|Non-fatal heart attacks", US_national_yearly!$D:$AM, 10, FALSE), 1)</f>
        <v>3.7823960299865025E-5</v>
      </c>
      <c r="U13" s="7">
        <f>$B13 * IFERROR(VLOOKUP("LULUCF|PM25|Non-fatal heart attacks", US_national_yearly!$D:$AM, 29, FALSE) / VLOOKUP("LULUCF|PM25|Non-fatal heart attacks", US_national_yearly!$D:$AM, 10, FALSE), 1)</f>
        <v>3.8030973479805135E-5</v>
      </c>
      <c r="V13" s="7">
        <f>$B13 * IFERROR(VLOOKUP("LULUCF|PM25|Non-fatal heart attacks", US_national_yearly!$D:$AM, 30, FALSE) / VLOOKUP("LULUCF|PM25|Non-fatal heart attacks", US_national_yearly!$D:$AM, 10, FALSE), 1)</f>
        <v>3.8237986659745239E-5</v>
      </c>
      <c r="W13" s="7">
        <f>$B13 * IFERROR(VLOOKUP("LULUCF|PM25|Non-fatal heart attacks", US_national_yearly!$D:$AM, 31, FALSE) / VLOOKUP("LULUCF|PM25|Non-fatal heart attacks", US_national_yearly!$D:$AM, 10, FALSE), 1)</f>
        <v>3.8444999839685342E-5</v>
      </c>
      <c r="X13" s="7">
        <f>$B13 * IFERROR(VLOOKUP("LULUCF|PM25|Non-fatal heart attacks", US_national_yearly!$D:$AM, 32, FALSE) / VLOOKUP("LULUCF|PM25|Non-fatal heart attacks", US_national_yearly!$D:$AM, 10, FALSE), 1)</f>
        <v>3.86021527767505E-5</v>
      </c>
      <c r="Y13" s="7">
        <f>$B13 * IFERROR(VLOOKUP("LULUCF|PM25|Non-fatal heart attacks", US_national_yearly!$D:$AM, 33, FALSE) / VLOOKUP("LULUCF|PM25|Non-fatal heart attacks", US_national_yearly!$D:$AM, 10, FALSE), 1)</f>
        <v>3.8759305713815671E-5</v>
      </c>
      <c r="Z13" s="7">
        <f>$B13 * IFERROR(VLOOKUP("LULUCF|PM25|Non-fatal heart attacks", US_national_yearly!$D:$AM, 34, FALSE) / VLOOKUP("LULUCF|PM25|Non-fatal heart attacks", US_national_yearly!$D:$AM, 10, FALSE), 1)</f>
        <v>3.8916458650880836E-5</v>
      </c>
      <c r="AA13" s="7">
        <f>$B13 * IFERROR(VLOOKUP("LULUCF|PM25|Non-fatal heart attacks", US_national_yearly!$D:$AM, 35, FALSE) / VLOOKUP("LULUCF|PM25|Non-fatal heart attacks", US_national_yearly!$D:$AM, 10, FALSE), 1)</f>
        <v>3.9073611587946007E-5</v>
      </c>
      <c r="AB13" s="7">
        <f>$B13 * IFERROR(VLOOKUP("LULUCF|PM25|Non-fatal heart attacks", US_national_yearly!$D:$AM, 36, FALSE) / VLOOKUP("LULUCF|PM25|Non-fatal heart attacks", US_national_yearly!$D:$AM, 10, FALSE), 1)</f>
        <v>3.9230764525011172E-5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3.4895818391862968E-2</v>
      </c>
      <c r="C14" s="7">
        <f>$B14 * IFERROR(VLOOKUP("LULUCF|PM25|Minor restricted activity days", US_national_yearly!$D:$AM, 11, FALSE) / VLOOKUP("LULUCF|PM25|Minor restricted activity days", US_national_yearly!$D:$AM, 10, FALSE), 1)</f>
        <v>3.4981038118701839E-2</v>
      </c>
      <c r="D14" s="7">
        <f>$B14 * IFERROR(VLOOKUP("LULUCF|PM25|Minor restricted activity days", US_national_yearly!$D:$AM, 12, FALSE) / VLOOKUP("LULUCF|PM25|Minor restricted activity days", US_national_yearly!$D:$AM, 10, FALSE), 1)</f>
        <v>3.5066257845540717E-2</v>
      </c>
      <c r="E14" s="7">
        <f>$B14 * IFERROR(VLOOKUP("LULUCF|PM25|Minor restricted activity days", US_national_yearly!$D:$AM, 13, FALSE) / VLOOKUP("LULUCF|PM25|Minor restricted activity days", US_national_yearly!$D:$AM, 10, FALSE), 1)</f>
        <v>3.5151477572379602E-2</v>
      </c>
      <c r="F14" s="7">
        <f>$B14 * IFERROR(VLOOKUP("LULUCF|PM25|Minor restricted activity days", US_national_yearly!$D:$AM, 14, FALSE) / VLOOKUP("LULUCF|PM25|Minor restricted activity days", US_national_yearly!$D:$AM, 10, FALSE), 1)</f>
        <v>3.5236697299218467E-2</v>
      </c>
      <c r="G14" s="7">
        <f>$B14 * IFERROR(VLOOKUP("LULUCF|PM25|Minor restricted activity days", US_national_yearly!$D:$AM, 15, FALSE) / VLOOKUP("LULUCF|PM25|Minor restricted activity days", US_national_yearly!$D:$AM, 10, FALSE), 1)</f>
        <v>3.5362436455763813E-2</v>
      </c>
      <c r="H14" s="7">
        <f>$B14 * IFERROR(VLOOKUP("LULUCF|PM25|Minor restricted activity days", US_national_yearly!$D:$AM, 16, FALSE) / VLOOKUP("LULUCF|PM25|Minor restricted activity days", US_national_yearly!$D:$AM, 10, FALSE), 1)</f>
        <v>3.5488175612309165E-2</v>
      </c>
      <c r="I14" s="7">
        <f>$B14 * IFERROR(VLOOKUP("LULUCF|PM25|Minor restricted activity days", US_national_yearly!$D:$AM, 17, FALSE) / VLOOKUP("LULUCF|PM25|Minor restricted activity days", US_national_yearly!$D:$AM, 10, FALSE), 1)</f>
        <v>3.5703131990374212E-2</v>
      </c>
      <c r="J14" s="7">
        <f>$B14 * IFERROR(VLOOKUP("LULUCF|PM25|Minor restricted activity days", US_national_yearly!$D:$AM, 18, FALSE) / VLOOKUP("LULUCF|PM25|Minor restricted activity days", US_national_yearly!$D:$AM, 10, FALSE), 1)</f>
        <v>3.5918088368439245E-2</v>
      </c>
      <c r="K14" s="7">
        <f>$B14 * IFERROR(VLOOKUP("LULUCF|PM25|Minor restricted activity days", US_national_yearly!$D:$AM, 19, FALSE) / VLOOKUP("LULUCF|PM25|Minor restricted activity days", US_national_yearly!$D:$AM, 10, FALSE), 1)</f>
        <v>3.6133044746504292E-2</v>
      </c>
      <c r="L14" s="7">
        <f>$B14 * IFERROR(VLOOKUP("LULUCF|PM25|Minor restricted activity days", US_national_yearly!$D:$AM, 20, FALSE) / VLOOKUP("LULUCF|PM25|Minor restricted activity days", US_national_yearly!$D:$AM, 10, FALSE), 1)</f>
        <v>3.6348001124569332E-2</v>
      </c>
      <c r="M14" s="7">
        <f>$B14 * IFERROR(VLOOKUP("LULUCF|PM25|Minor restricted activity days", US_national_yearly!$D:$AM, 21, FALSE) / VLOOKUP("LULUCF|PM25|Minor restricted activity days", US_national_yearly!$D:$AM, 10, FALSE), 1)</f>
        <v>3.6562957502634372E-2</v>
      </c>
      <c r="N14" s="7">
        <f>$B14 * IFERROR(VLOOKUP("LULUCF|PM25|Minor restricted activity days", US_national_yearly!$D:$AM, 22, FALSE) / VLOOKUP("LULUCF|PM25|Minor restricted activity days", US_national_yearly!$D:$AM, 10, FALSE), 1)</f>
        <v>3.6855770887297717E-2</v>
      </c>
      <c r="O14" s="7">
        <f>$B14 * IFERROR(VLOOKUP("LULUCF|PM25|Minor restricted activity days", US_national_yearly!$D:$AM, 23, FALSE) / VLOOKUP("LULUCF|PM25|Minor restricted activity days", US_national_yearly!$D:$AM, 10, FALSE), 1)</f>
        <v>3.7148584271961056E-2</v>
      </c>
      <c r="P14" s="7">
        <f>$B14 * IFERROR(VLOOKUP("LULUCF|PM25|Minor restricted activity days", US_national_yearly!$D:$AM, 24, FALSE) / VLOOKUP("LULUCF|PM25|Minor restricted activity days", US_national_yearly!$D:$AM, 10, FALSE), 1)</f>
        <v>3.7441397656624402E-2</v>
      </c>
      <c r="Q14" s="7">
        <f>$B14 * IFERROR(VLOOKUP("LULUCF|PM25|Minor restricted activity days", US_national_yearly!$D:$AM, 25, FALSE) / VLOOKUP("LULUCF|PM25|Minor restricted activity days", US_national_yearly!$D:$AM, 10, FALSE), 1)</f>
        <v>3.7734211041287741E-2</v>
      </c>
      <c r="R14" s="7">
        <f>$B14 * IFERROR(VLOOKUP("LULUCF|PM25|Minor restricted activity days", US_national_yearly!$D:$AM, 26, FALSE) / VLOOKUP("LULUCF|PM25|Minor restricted activity days", US_national_yearly!$D:$AM, 10, FALSE), 1)</f>
        <v>3.802702442595108E-2</v>
      </c>
      <c r="S14" s="7">
        <f>$B14 * IFERROR(VLOOKUP("LULUCF|PM25|Minor restricted activity days", US_national_yearly!$D:$AM, 27, FALSE) / VLOOKUP("LULUCF|PM25|Minor restricted activity days", US_national_yearly!$D:$AM, 10, FALSE), 1)</f>
        <v>3.8321854320445686E-2</v>
      </c>
      <c r="T14" s="7">
        <f>$B14 * IFERROR(VLOOKUP("LULUCF|PM25|Minor restricted activity days", US_national_yearly!$D:$AM, 28, FALSE) / VLOOKUP("LULUCF|PM25|Minor restricted activity days", US_national_yearly!$D:$AM, 10, FALSE), 1)</f>
        <v>3.8616684214940293E-2</v>
      </c>
      <c r="U14" s="7">
        <f>$B14 * IFERROR(VLOOKUP("LULUCF|PM25|Minor restricted activity days", US_national_yearly!$D:$AM, 29, FALSE) / VLOOKUP("LULUCF|PM25|Minor restricted activity days", US_national_yearly!$D:$AM, 10, FALSE), 1)</f>
        <v>3.89115141094349E-2</v>
      </c>
      <c r="V14" s="7">
        <f>$B14 * IFERROR(VLOOKUP("LULUCF|PM25|Minor restricted activity days", US_national_yearly!$D:$AM, 30, FALSE) / VLOOKUP("LULUCF|PM25|Minor restricted activity days", US_national_yearly!$D:$AM, 10, FALSE), 1)</f>
        <v>3.9206344003929507E-2</v>
      </c>
      <c r="W14" s="7">
        <f>$B14 * IFERROR(VLOOKUP("LULUCF|PM25|Minor restricted activity days", US_national_yearly!$D:$AM, 31, FALSE) / VLOOKUP("LULUCF|PM25|Minor restricted activity days", US_national_yearly!$D:$AM, 10, FALSE), 1)</f>
        <v>3.9501173898424113E-2</v>
      </c>
      <c r="X14" s="7">
        <f>$B14 * IFERROR(VLOOKUP("LULUCF|PM25|Minor restricted activity days", US_national_yearly!$D:$AM, 32, FALSE) / VLOOKUP("LULUCF|PM25|Minor restricted activity days", US_national_yearly!$D:$AM, 10, FALSE), 1)</f>
        <v>3.9757115907297143E-2</v>
      </c>
      <c r="Y14" s="7">
        <f>$B14 * IFERROR(VLOOKUP("LULUCF|PM25|Minor restricted activity days", US_national_yearly!$D:$AM, 33, FALSE) / VLOOKUP("LULUCF|PM25|Minor restricted activity days", US_national_yearly!$D:$AM, 10, FALSE), 1)</f>
        <v>4.0013057916170172E-2</v>
      </c>
      <c r="Z14" s="7">
        <f>$B14 * IFERROR(VLOOKUP("LULUCF|PM25|Minor restricted activity days", US_national_yearly!$D:$AM, 34, FALSE) / VLOOKUP("LULUCF|PM25|Minor restricted activity days", US_national_yearly!$D:$AM, 10, FALSE), 1)</f>
        <v>4.0268999925043202E-2</v>
      </c>
      <c r="AA14" s="7">
        <f>$B14 * IFERROR(VLOOKUP("LULUCF|PM25|Minor restricted activity days", US_national_yearly!$D:$AM, 35, FALSE) / VLOOKUP("LULUCF|PM25|Minor restricted activity days", US_national_yearly!$D:$AM, 10, FALSE), 1)</f>
        <v>4.0524941933916224E-2</v>
      </c>
      <c r="AB14" s="7">
        <f>$B14 * IFERROR(VLOOKUP("LULUCF|PM25|Minor restricted activity days", US_national_yearly!$D:$AM, 36, FALSE) / VLOOKUP("LULUCF|PM25|Minor restricted activity days", US_national_yearly!$D:$AM, 10, FALSE), 1)</f>
        <v>4.0780883942789246E-2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5.9790613720046544E-3</v>
      </c>
      <c r="C15" s="7">
        <f>$B15 * IFERROR(VLOOKUP("LULUCF|PM25|Work loss days", US_national_yearly!$D:$AM, 11, FALSE) / VLOOKUP("LULUCF|PM25|Work loss days", US_national_yearly!$D:$AM, 10, FALSE), 1)</f>
        <v>5.997594308774579E-3</v>
      </c>
      <c r="D15" s="7">
        <f>$B15 * IFERROR(VLOOKUP("LULUCF|PM25|Work loss days", US_national_yearly!$D:$AM, 12, FALSE) / VLOOKUP("LULUCF|PM25|Work loss days", US_national_yearly!$D:$AM, 10, FALSE), 1)</f>
        <v>6.0161272455445053E-3</v>
      </c>
      <c r="E15" s="7">
        <f>$B15 * IFERROR(VLOOKUP("LULUCF|PM25|Work loss days", US_national_yearly!$D:$AM, 13, FALSE) / VLOOKUP("LULUCF|PM25|Work loss days", US_national_yearly!$D:$AM, 10, FALSE), 1)</f>
        <v>6.0346601823144308E-3</v>
      </c>
      <c r="F15" s="7">
        <f>$B15 * IFERROR(VLOOKUP("LULUCF|PM25|Work loss days", US_national_yearly!$D:$AM, 14, FALSE) / VLOOKUP("LULUCF|PM25|Work loss days", US_national_yearly!$D:$AM, 10, FALSE), 1)</f>
        <v>6.0531931190843553E-3</v>
      </c>
      <c r="G15" s="7">
        <f>$B15 * IFERROR(VLOOKUP("LULUCF|PM25|Work loss days", US_national_yearly!$D:$AM, 15, FALSE) / VLOOKUP("LULUCF|PM25|Work loss days", US_national_yearly!$D:$AM, 10, FALSE), 1)</f>
        <v>6.0774909817941968E-3</v>
      </c>
      <c r="H15" s="7">
        <f>$B15 * IFERROR(VLOOKUP("LULUCF|PM25|Work loss days", US_national_yearly!$D:$AM, 16, FALSE) / VLOOKUP("LULUCF|PM25|Work loss days", US_national_yearly!$D:$AM, 10, FALSE), 1)</f>
        <v>6.10178884450404E-3</v>
      </c>
      <c r="I15" s="7">
        <f>$B15 * IFERROR(VLOOKUP("LULUCF|PM25|Work loss days", US_national_yearly!$D:$AM, 17, FALSE) / VLOOKUP("LULUCF|PM25|Work loss days", US_national_yearly!$D:$AM, 10, FALSE), 1)</f>
        <v>6.1375701197424748E-3</v>
      </c>
      <c r="J15" s="7">
        <f>$B15 * IFERROR(VLOOKUP("LULUCF|PM25|Work loss days", US_national_yearly!$D:$AM, 18, FALSE) / VLOOKUP("LULUCF|PM25|Work loss days", US_national_yearly!$D:$AM, 10, FALSE), 1)</f>
        <v>6.1733513949809096E-3</v>
      </c>
      <c r="K15" s="7">
        <f>$B15 * IFERROR(VLOOKUP("LULUCF|PM25|Work loss days", US_national_yearly!$D:$AM, 19, FALSE) / VLOOKUP("LULUCF|PM25|Work loss days", US_national_yearly!$D:$AM, 10, FALSE), 1)</f>
        <v>6.2091326702193445E-3</v>
      </c>
      <c r="L15" s="7">
        <f>$B15 * IFERROR(VLOOKUP("LULUCF|PM25|Work loss days", US_national_yearly!$D:$AM, 20, FALSE) / VLOOKUP("LULUCF|PM25|Work loss days", US_national_yearly!$D:$AM, 10, FALSE), 1)</f>
        <v>6.2449139454577784E-3</v>
      </c>
      <c r="M15" s="7">
        <f>$B15 * IFERROR(VLOOKUP("LULUCF|PM25|Work loss days", US_national_yearly!$D:$AM, 21, FALSE) / VLOOKUP("LULUCF|PM25|Work loss days", US_national_yearly!$D:$AM, 10, FALSE), 1)</f>
        <v>6.2806952206962132E-3</v>
      </c>
      <c r="N15" s="7">
        <f>$B15 * IFERROR(VLOOKUP("LULUCF|PM25|Work loss days", US_national_yearly!$D:$AM, 22, FALSE) / VLOOKUP("LULUCF|PM25|Work loss days", US_national_yearly!$D:$AM, 10, FALSE), 1)</f>
        <v>6.3257286638256074E-3</v>
      </c>
      <c r="O15" s="7">
        <f>$B15 * IFERROR(VLOOKUP("LULUCF|PM25|Work loss days", US_national_yearly!$D:$AM, 23, FALSE) / VLOOKUP("LULUCF|PM25|Work loss days", US_national_yearly!$D:$AM, 10, FALSE), 1)</f>
        <v>6.3707621069549998E-3</v>
      </c>
      <c r="P15" s="7">
        <f>$B15 * IFERROR(VLOOKUP("LULUCF|PM25|Work loss days", US_national_yearly!$D:$AM, 24, FALSE) / VLOOKUP("LULUCF|PM25|Work loss days", US_national_yearly!$D:$AM, 10, FALSE), 1)</f>
        <v>6.415795550084394E-3</v>
      </c>
      <c r="Q15" s="7">
        <f>$B15 * IFERROR(VLOOKUP("LULUCF|PM25|Work loss days", US_national_yearly!$D:$AM, 25, FALSE) / VLOOKUP("LULUCF|PM25|Work loss days", US_national_yearly!$D:$AM, 10, FALSE), 1)</f>
        <v>6.4608289932137864E-3</v>
      </c>
      <c r="R15" s="7">
        <f>$B15 * IFERROR(VLOOKUP("LULUCF|PM25|Work loss days", US_national_yearly!$D:$AM, 26, FALSE) / VLOOKUP("LULUCF|PM25|Work loss days", US_national_yearly!$D:$AM, 10, FALSE), 1)</f>
        <v>6.5058624363431806E-3</v>
      </c>
      <c r="S15" s="7">
        <f>$B15 * IFERROR(VLOOKUP("LULUCF|PM25|Work loss days", US_national_yearly!$D:$AM, 27, FALSE) / VLOOKUP("LULUCF|PM25|Work loss days", US_national_yearly!$D:$AM, 10, FALSE), 1)</f>
        <v>6.5556713470774812E-3</v>
      </c>
      <c r="T15" s="7">
        <f>$B15 * IFERROR(VLOOKUP("LULUCF|PM25|Work loss days", US_national_yearly!$D:$AM, 28, FALSE) / VLOOKUP("LULUCF|PM25|Work loss days", US_national_yearly!$D:$AM, 10, FALSE), 1)</f>
        <v>6.6054802578117836E-3</v>
      </c>
      <c r="U15" s="7">
        <f>$B15 * IFERROR(VLOOKUP("LULUCF|PM25|Work loss days", US_national_yearly!$D:$AM, 29, FALSE) / VLOOKUP("LULUCF|PM25|Work loss days", US_national_yearly!$D:$AM, 10, FALSE), 1)</f>
        <v>6.6552891685460833E-3</v>
      </c>
      <c r="V15" s="7">
        <f>$B15 * IFERROR(VLOOKUP("LULUCF|PM25|Work loss days", US_national_yearly!$D:$AM, 30, FALSE) / VLOOKUP("LULUCF|PM25|Work loss days", US_national_yearly!$D:$AM, 10, FALSE), 1)</f>
        <v>6.7050980792803857E-3</v>
      </c>
      <c r="W15" s="7">
        <f>$B15 * IFERROR(VLOOKUP("LULUCF|PM25|Work loss days", US_national_yearly!$D:$AM, 31, FALSE) / VLOOKUP("LULUCF|PM25|Work loss days", US_national_yearly!$D:$AM, 10, FALSE), 1)</f>
        <v>6.7549069900146863E-3</v>
      </c>
      <c r="X15" s="7">
        <f>$B15 * IFERROR(VLOOKUP("LULUCF|PM25|Work loss days", US_national_yearly!$D:$AM, 32, FALSE) / VLOOKUP("LULUCF|PM25|Work loss days", US_national_yearly!$D:$AM, 10, FALSE), 1)</f>
        <v>6.7991009274796631E-3</v>
      </c>
      <c r="Y15" s="7">
        <f>$B15 * IFERROR(VLOOKUP("LULUCF|PM25|Work loss days", US_national_yearly!$D:$AM, 33, FALSE) / VLOOKUP("LULUCF|PM25|Work loss days", US_national_yearly!$D:$AM, 10, FALSE), 1)</f>
        <v>6.8432948649446408E-3</v>
      </c>
      <c r="Z15" s="7">
        <f>$B15 * IFERROR(VLOOKUP("LULUCF|PM25|Work loss days", US_national_yearly!$D:$AM, 34, FALSE) / VLOOKUP("LULUCF|PM25|Work loss days", US_national_yearly!$D:$AM, 10, FALSE), 1)</f>
        <v>6.8874888024096194E-3</v>
      </c>
      <c r="AA15" s="7">
        <f>$B15 * IFERROR(VLOOKUP("LULUCF|PM25|Work loss days", US_national_yearly!$D:$AM, 35, FALSE) / VLOOKUP("LULUCF|PM25|Work loss days", US_national_yearly!$D:$AM, 10, FALSE), 1)</f>
        <v>6.931682739874598E-3</v>
      </c>
      <c r="AB15" s="7">
        <f>$B15 * IFERROR(VLOOKUP("LULUCF|PM25|Work loss days", US_national_yearly!$D:$AM, 36, FALSE) / VLOOKUP("LULUCF|PM25|Work loss days", US_national_yearly!$D:$AM, 10, FALSE), 1)</f>
        <v>6.9758766773395748E-3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5.2172323674580593E-6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5.3731269086617784E-6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5.5290214498654984E-6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5.6849159910692192E-6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5.8408105322729391E-6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5.9901296558107852E-6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6.1394487793486329E-6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6.267154691746712E-6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6.3948606041447903E-6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6.5225665165428686E-6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6.6502724289409494E-6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6.7779783413390277E-6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6.8631227888310559E-6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6.948267236323084E-6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7.0334116838151121E-6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7.1185561313071402E-6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7.2037005787991683E-6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7.2487499406990665E-6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7.2937993025989647E-6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7.3388486644988612E-6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7.3838980263987585E-6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7.4289473882986559E-6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7.459275211307627E-6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7.4896030343165989E-6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7.51993085732557E-6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7.550258680334542E-6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7.5805865033435131E-6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7.2004502372863358E-5</v>
      </c>
      <c r="C2" s="7">
        <f>$B2 * IFERROR(VLOOKUP("LULUCF|NOx|Premature mortality", US_national_yearly!$D:$AM, 11, FALSE) / VLOOKUP("LULUCF|NOx|Premature mortality", US_national_yearly!$D:$AM, 10, FALSE), 1)</f>
        <v>7.3062126806874923E-5</v>
      </c>
      <c r="D2" s="7">
        <f>$B2 * IFERROR(VLOOKUP("LULUCF|NOx|Premature mortality", US_national_yearly!$D:$AM, 12, FALSE) / VLOOKUP("LULUCF|NOx|Premature mortality", US_national_yearly!$D:$AM, 10, FALSE), 1)</f>
        <v>7.4119751240886488E-5</v>
      </c>
      <c r="E2" s="7">
        <f>$B2 * IFERROR(VLOOKUP("LULUCF|NOx|Premature mortality", US_national_yearly!$D:$AM, 13, FALSE) / VLOOKUP("LULUCF|NOx|Premature mortality", US_national_yearly!$D:$AM, 10, FALSE), 1)</f>
        <v>7.5177375674898052E-5</v>
      </c>
      <c r="F2" s="7">
        <f>$B2 * IFERROR(VLOOKUP("LULUCF|NOx|Premature mortality", US_national_yearly!$D:$AM, 14, FALSE) / VLOOKUP("LULUCF|NOx|Premature mortality", US_national_yearly!$D:$AM, 10, FALSE), 1)</f>
        <v>7.6235000108909617E-5</v>
      </c>
      <c r="G2" s="7">
        <f>$B2 * IFERROR(VLOOKUP("LULUCF|NOx|Premature mortality", US_national_yearly!$D:$AM, 15, FALSE) / VLOOKUP("LULUCF|NOx|Premature mortality", US_national_yearly!$D:$AM, 10, FALSE), 1)</f>
        <v>7.8134743640409675E-5</v>
      </c>
      <c r="H2" s="7">
        <f>$B2 * IFERROR(VLOOKUP("LULUCF|NOx|Premature mortality", US_national_yearly!$D:$AM, 16, FALSE) / VLOOKUP("LULUCF|NOx|Premature mortality", US_national_yearly!$D:$AM, 10, FALSE), 1)</f>
        <v>8.0034487171909774E-5</v>
      </c>
      <c r="I2" s="7">
        <f>$B2 * IFERROR(VLOOKUP("LULUCF|NOx|Premature mortality", US_national_yearly!$D:$AM, 17, FALSE) / VLOOKUP("LULUCF|NOx|Premature mortality", US_national_yearly!$D:$AM, 10, FALSE), 1)</f>
        <v>8.1260807657034694E-5</v>
      </c>
      <c r="J2" s="7">
        <f>$B2 * IFERROR(VLOOKUP("LULUCF|NOx|Premature mortality", US_national_yearly!$D:$AM, 18, FALSE) / VLOOKUP("LULUCF|NOx|Premature mortality", US_national_yearly!$D:$AM, 10, FALSE), 1)</f>
        <v>8.2487128142159628E-5</v>
      </c>
      <c r="K2" s="7">
        <f>$B2 * IFERROR(VLOOKUP("LULUCF|NOx|Premature mortality", US_national_yearly!$D:$AM, 19, FALSE) / VLOOKUP("LULUCF|NOx|Premature mortality", US_national_yearly!$D:$AM, 10, FALSE), 1)</f>
        <v>8.3713448627284562E-5</v>
      </c>
      <c r="L2" s="7">
        <f>$B2 * IFERROR(VLOOKUP("LULUCF|NOx|Premature mortality", US_national_yearly!$D:$AM, 20, FALSE) / VLOOKUP("LULUCF|NOx|Premature mortality", US_national_yearly!$D:$AM, 10, FALSE), 1)</f>
        <v>8.4939769112409483E-5</v>
      </c>
      <c r="M2" s="7">
        <f>$B2 * IFERROR(VLOOKUP("LULUCF|NOx|Premature mortality", US_national_yearly!$D:$AM, 21, FALSE) / VLOOKUP("LULUCF|NOx|Premature mortality", US_national_yearly!$D:$AM, 10, FALSE), 1)</f>
        <v>8.6166089597534417E-5</v>
      </c>
      <c r="N2" s="7">
        <f>$B2 * IFERROR(VLOOKUP("LULUCF|NOx|Premature mortality", US_national_yearly!$D:$AM, 22, FALSE) / VLOOKUP("LULUCF|NOx|Premature mortality", US_national_yearly!$D:$AM, 10, FALSE), 1)</f>
        <v>8.7074543045540488E-5</v>
      </c>
      <c r="O2" s="7">
        <f>$B2 * IFERROR(VLOOKUP("LULUCF|NOx|Premature mortality", US_national_yearly!$D:$AM, 23, FALSE) / VLOOKUP("LULUCF|NOx|Premature mortality", US_national_yearly!$D:$AM, 10, FALSE), 1)</f>
        <v>8.7982996493546559E-5</v>
      </c>
      <c r="P2" s="7">
        <f>$B2 * IFERROR(VLOOKUP("LULUCF|NOx|Premature mortality", US_national_yearly!$D:$AM, 24, FALSE) / VLOOKUP("LULUCF|NOx|Premature mortality", US_national_yearly!$D:$AM, 10, FALSE), 1)</f>
        <v>8.889144994155263E-5</v>
      </c>
      <c r="Q2" s="7">
        <f>$B2 * IFERROR(VLOOKUP("LULUCF|NOx|Premature mortality", US_national_yearly!$D:$AM, 25, FALSE) / VLOOKUP("LULUCF|NOx|Premature mortality", US_national_yearly!$D:$AM, 10, FALSE), 1)</f>
        <v>8.9799903389558728E-5</v>
      </c>
      <c r="R2" s="7">
        <f>$B2 * IFERROR(VLOOKUP("LULUCF|NOx|Premature mortality", US_national_yearly!$D:$AM, 26, FALSE) / VLOOKUP("LULUCF|NOx|Premature mortality", US_national_yearly!$D:$AM, 10, FALSE), 1)</f>
        <v>9.0708356837564799E-5</v>
      </c>
      <c r="S2" s="7">
        <f>$B2 * IFERROR(VLOOKUP("LULUCF|NOx|Premature mortality", US_national_yearly!$D:$AM, 27, FALSE) / VLOOKUP("LULUCF|NOx|Premature mortality", US_national_yearly!$D:$AM, 10, FALSE), 1)</f>
        <v>9.1121258077688205E-5</v>
      </c>
      <c r="T2" s="7">
        <f>$B2 * IFERROR(VLOOKUP("LULUCF|NOx|Premature mortality", US_national_yearly!$D:$AM, 28, FALSE) / VLOOKUP("LULUCF|NOx|Premature mortality", US_national_yearly!$D:$AM, 10, FALSE), 1)</f>
        <v>9.1534159317811637E-5</v>
      </c>
      <c r="U2" s="7">
        <f>$B2 * IFERROR(VLOOKUP("LULUCF|NOx|Premature mortality", US_national_yearly!$D:$AM, 29, FALSE) / VLOOKUP("LULUCF|NOx|Premature mortality", US_national_yearly!$D:$AM, 10, FALSE), 1)</f>
        <v>9.1947060557935042E-5</v>
      </c>
      <c r="V2" s="7">
        <f>$B2 * IFERROR(VLOOKUP("LULUCF|NOx|Premature mortality", US_national_yearly!$D:$AM, 30, FALSE) / VLOOKUP("LULUCF|NOx|Premature mortality", US_national_yearly!$D:$AM, 10, FALSE), 1)</f>
        <v>9.2359961798058448E-5</v>
      </c>
      <c r="W2" s="7">
        <f>$B2 * IFERROR(VLOOKUP("LULUCF|NOx|Premature mortality", US_national_yearly!$D:$AM, 31, FALSE) / VLOOKUP("LULUCF|NOx|Premature mortality", US_national_yearly!$D:$AM, 10, FALSE), 1)</f>
        <v>9.277286303818188E-5</v>
      </c>
      <c r="X2" s="7">
        <f>$B2 * IFERROR(VLOOKUP("LULUCF|NOx|Premature mortality", US_national_yearly!$D:$AM, 32, FALSE) / VLOOKUP("LULUCF|NOx|Premature mortality", US_national_yearly!$D:$AM, 10, FALSE), 1)</f>
        <v>9.2787165700132548E-5</v>
      </c>
      <c r="Y2" s="7">
        <f>$B2 * IFERROR(VLOOKUP("LULUCF|NOx|Premature mortality", US_national_yearly!$D:$AM, 33, FALSE) / VLOOKUP("LULUCF|NOx|Premature mortality", US_national_yearly!$D:$AM, 10, FALSE), 1)</f>
        <v>9.2801468362083215E-5</v>
      </c>
      <c r="Z2" s="7">
        <f>$B2 * IFERROR(VLOOKUP("LULUCF|NOx|Premature mortality", US_national_yearly!$D:$AM, 34, FALSE) / VLOOKUP("LULUCF|NOx|Premature mortality", US_national_yearly!$D:$AM, 10, FALSE), 1)</f>
        <v>9.2815771024033869E-5</v>
      </c>
      <c r="AA2" s="7">
        <f>$B2 * IFERROR(VLOOKUP("LULUCF|NOx|Premature mortality", US_national_yearly!$D:$AM, 35, FALSE) / VLOOKUP("LULUCF|NOx|Premature mortality", US_national_yearly!$D:$AM, 10, FALSE), 1)</f>
        <v>9.2830073685984551E-5</v>
      </c>
      <c r="AB2" s="7">
        <f>$B2 * IFERROR(VLOOKUP("LULUCF|NOx|Premature mortality", US_national_yearly!$D:$AM, 36, FALSE) / VLOOKUP("LULUCF|NOx|Premature mortality", US_national_yearly!$D:$AM, 10, FALSE), 1)</f>
        <v>9.2844376347935218E-5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3.3246462382725191E-7</v>
      </c>
      <c r="C3" s="7">
        <f>$B3 * IFERROR(VLOOKUP("LULUCF|NOx|Infant mortality", US_national_yearly!$D:$AM, 11, FALSE) / VLOOKUP("LULUCF|NOx|Infant mortality", US_national_yearly!$D:$AM, 10, FALSE), 1)</f>
        <v>3.292970511114093E-7</v>
      </c>
      <c r="D3" s="7">
        <f>$B3 * IFERROR(VLOOKUP("LULUCF|NOx|Infant mortality", US_national_yearly!$D:$AM, 12, FALSE) / VLOOKUP("LULUCF|NOx|Infant mortality", US_national_yearly!$D:$AM, 10, FALSE), 1)</f>
        <v>3.261294783955667E-7</v>
      </c>
      <c r="E3" s="7">
        <f>$B3 * IFERROR(VLOOKUP("LULUCF|NOx|Infant mortality", US_national_yearly!$D:$AM, 13, FALSE) / VLOOKUP("LULUCF|NOx|Infant mortality", US_national_yearly!$D:$AM, 10, FALSE), 1)</f>
        <v>3.2296190567972409E-7</v>
      </c>
      <c r="F3" s="7">
        <f>$B3 * IFERROR(VLOOKUP("LULUCF|NOx|Infant mortality", US_national_yearly!$D:$AM, 14, FALSE) / VLOOKUP("LULUCF|NOx|Infant mortality", US_national_yearly!$D:$AM, 10, FALSE), 1)</f>
        <v>3.1979433296388154E-7</v>
      </c>
      <c r="G3" s="7">
        <f>$B3 * IFERROR(VLOOKUP("LULUCF|NOx|Infant mortality", US_national_yearly!$D:$AM, 15, FALSE) / VLOOKUP("LULUCF|NOx|Infant mortality", US_national_yearly!$D:$AM, 10, FALSE), 1)</f>
        <v>2.122952699798303E-7</v>
      </c>
      <c r="H3" s="7">
        <f>$B3 * IFERROR(VLOOKUP("LULUCF|NOx|Infant mortality", US_national_yearly!$D:$AM, 16, FALSE) / VLOOKUP("LULUCF|NOx|Infant mortality", US_national_yearly!$D:$AM, 10, FALSE), 1)</f>
        <v>1.0479620699577911E-7</v>
      </c>
      <c r="I3" s="7">
        <f>$B3 * IFERROR(VLOOKUP("LULUCF|NOx|Infant mortality", US_national_yearly!$D:$AM, 17, FALSE) / VLOOKUP("LULUCF|NOx|Infant mortality", US_national_yearly!$D:$AM, 10, FALSE), 1)</f>
        <v>1.0405519775249277E-7</v>
      </c>
      <c r="J3" s="7">
        <f>$B3 * IFERROR(VLOOKUP("LULUCF|NOx|Infant mortality", US_national_yearly!$D:$AM, 18, FALSE) / VLOOKUP("LULUCF|NOx|Infant mortality", US_national_yearly!$D:$AM, 10, FALSE), 1)</f>
        <v>1.0331418850920642E-7</v>
      </c>
      <c r="K3" s="7">
        <f>$B3 * IFERROR(VLOOKUP("LULUCF|NOx|Infant mortality", US_national_yearly!$D:$AM, 19, FALSE) / VLOOKUP("LULUCF|NOx|Infant mortality", US_national_yearly!$D:$AM, 10, FALSE), 1)</f>
        <v>1.0257317926592008E-7</v>
      </c>
      <c r="L3" s="7">
        <f>$B3 * IFERROR(VLOOKUP("LULUCF|NOx|Infant mortality", US_national_yearly!$D:$AM, 20, FALSE) / VLOOKUP("LULUCF|NOx|Infant mortality", US_national_yearly!$D:$AM, 10, FALSE), 1)</f>
        <v>1.0183217002263374E-7</v>
      </c>
      <c r="M3" s="7">
        <f>$B3 * IFERROR(VLOOKUP("LULUCF|NOx|Infant mortality", US_national_yearly!$D:$AM, 21, FALSE) / VLOOKUP("LULUCF|NOx|Infant mortality", US_national_yearly!$D:$AM, 10, FALSE), 1)</f>
        <v>1.0109116077934738E-7</v>
      </c>
      <c r="N3" s="7">
        <f>$B3 * IFERROR(VLOOKUP("LULUCF|NOx|Infant mortality", US_national_yearly!$D:$AM, 22, FALSE) / VLOOKUP("LULUCF|NOx|Infant mortality", US_national_yearly!$D:$AM, 10, FALSE), 1)</f>
        <v>1.005993098270915E-7</v>
      </c>
      <c r="O3" s="7">
        <f>$B3 * IFERROR(VLOOKUP("LULUCF|NOx|Infant mortality", US_national_yearly!$D:$AM, 23, FALSE) / VLOOKUP("LULUCF|NOx|Infant mortality", US_national_yearly!$D:$AM, 10, FALSE), 1)</f>
        <v>1.0010745887483562E-7</v>
      </c>
      <c r="P3" s="7">
        <f>$B3 * IFERROR(VLOOKUP("LULUCF|NOx|Infant mortality", US_national_yearly!$D:$AM, 24, FALSE) / VLOOKUP("LULUCF|NOx|Infant mortality", US_national_yearly!$D:$AM, 10, FALSE), 1)</f>
        <v>9.9615607922579737E-8</v>
      </c>
      <c r="Q3" s="7">
        <f>$B3 * IFERROR(VLOOKUP("LULUCF|NOx|Infant mortality", US_national_yearly!$D:$AM, 25, FALSE) / VLOOKUP("LULUCF|NOx|Infant mortality", US_national_yearly!$D:$AM, 10, FALSE), 1)</f>
        <v>9.9123756970323857E-8</v>
      </c>
      <c r="R3" s="7">
        <f>$B3 * IFERROR(VLOOKUP("LULUCF|NOx|Infant mortality", US_national_yearly!$D:$AM, 26, FALSE) / VLOOKUP("LULUCF|NOx|Infant mortality", US_national_yearly!$D:$AM, 10, FALSE), 1)</f>
        <v>9.8631906018067976E-8</v>
      </c>
      <c r="S3" s="7">
        <f>$B3 * IFERROR(VLOOKUP("LULUCF|NOx|Infant mortality", US_national_yearly!$D:$AM, 27, FALSE) / VLOOKUP("LULUCF|NOx|Infant mortality", US_national_yearly!$D:$AM, 10, FALSE), 1)</f>
        <v>9.8040622957436283E-8</v>
      </c>
      <c r="T3" s="7">
        <f>$B3 * IFERROR(VLOOKUP("LULUCF|NOx|Infant mortality", US_national_yearly!$D:$AM, 28, FALSE) / VLOOKUP("LULUCF|NOx|Infant mortality", US_national_yearly!$D:$AM, 10, FALSE), 1)</f>
        <v>9.7449339896804577E-8</v>
      </c>
      <c r="U3" s="7">
        <f>$B3 * IFERROR(VLOOKUP("LULUCF|NOx|Infant mortality", US_national_yearly!$D:$AM, 29, FALSE) / VLOOKUP("LULUCF|NOx|Infant mortality", US_national_yearly!$D:$AM, 10, FALSE), 1)</f>
        <v>9.6858056836172884E-8</v>
      </c>
      <c r="V3" s="7">
        <f>$B3 * IFERROR(VLOOKUP("LULUCF|NOx|Infant mortality", US_national_yearly!$D:$AM, 30, FALSE) / VLOOKUP("LULUCF|NOx|Infant mortality", US_national_yearly!$D:$AM, 10, FALSE), 1)</f>
        <v>9.6266773775541191E-8</v>
      </c>
      <c r="W3" s="7">
        <f>$B3 * IFERROR(VLOOKUP("LULUCF|NOx|Infant mortality", US_national_yearly!$D:$AM, 31, FALSE) / VLOOKUP("LULUCF|NOx|Infant mortality", US_national_yearly!$D:$AM, 10, FALSE), 1)</f>
        <v>9.5675490714909498E-8</v>
      </c>
      <c r="X3" s="7">
        <f>$B3 * IFERROR(VLOOKUP("LULUCF|NOx|Infant mortality", US_national_yearly!$D:$AM, 32, FALSE) / VLOOKUP("LULUCF|NOx|Infant mortality", US_national_yearly!$D:$AM, 10, FALSE), 1)</f>
        <v>9.504929336041875E-8</v>
      </c>
      <c r="Y3" s="7">
        <f>$B3 * IFERROR(VLOOKUP("LULUCF|NOx|Infant mortality", US_national_yearly!$D:$AM, 33, FALSE) / VLOOKUP("LULUCF|NOx|Infant mortality", US_national_yearly!$D:$AM, 10, FALSE), 1)</f>
        <v>9.4423096005927975E-8</v>
      </c>
      <c r="Z3" s="7">
        <f>$B3 * IFERROR(VLOOKUP("LULUCF|NOx|Infant mortality", US_national_yearly!$D:$AM, 34, FALSE) / VLOOKUP("LULUCF|NOx|Infant mortality", US_national_yearly!$D:$AM, 10, FALSE), 1)</f>
        <v>9.3796898651437201E-8</v>
      </c>
      <c r="AA3" s="7">
        <f>$B3 * IFERROR(VLOOKUP("LULUCF|NOx|Infant mortality", US_national_yearly!$D:$AM, 35, FALSE) / VLOOKUP("LULUCF|NOx|Infant mortality", US_national_yearly!$D:$AM, 10, FALSE), 1)</f>
        <v>9.317070129694644E-8</v>
      </c>
      <c r="AB3" s="7">
        <f>$B3 * IFERROR(VLOOKUP("LULUCF|NOx|Infant mortality", US_national_yearly!$D:$AM, 36, FALSE) / VLOOKUP("LULUCF|NOx|Infant mortality", US_national_yearly!$D:$AM, 10, FALSE), 1)</f>
        <v>9.2544503942455665E-8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3.6166918583950645E-4</v>
      </c>
      <c r="C6" s="7">
        <f>$B6 * IFERROR(VLOOKUP("LULUCF|NOx|Asthma symptoms cough", US_national_yearly!$D:$AM, 11, FALSE) / VLOOKUP("LULUCF|NOx|Asthma symptoms cough", US_national_yearly!$D:$AM, 10, FALSE), 1)</f>
        <v>3.6661379491564471E-4</v>
      </c>
      <c r="D6" s="7">
        <f>$B6 * IFERROR(VLOOKUP("LULUCF|NOx|Asthma symptoms cough", US_national_yearly!$D:$AM, 12, FALSE) / VLOOKUP("LULUCF|NOx|Asthma symptoms cough", US_national_yearly!$D:$AM, 10, FALSE), 1)</f>
        <v>3.7155840399178297E-4</v>
      </c>
      <c r="E6" s="7">
        <f>$B6 * IFERROR(VLOOKUP("LULUCF|NOx|Asthma symptoms cough", US_national_yearly!$D:$AM, 13, FALSE) / VLOOKUP("LULUCF|NOx|Asthma symptoms cough", US_national_yearly!$D:$AM, 10, FALSE), 1)</f>
        <v>3.7650301306792129E-4</v>
      </c>
      <c r="F6" s="7">
        <f>$B6 * IFERROR(VLOOKUP("LULUCF|NOx|Asthma symptoms cough", US_national_yearly!$D:$AM, 14, FALSE) / VLOOKUP("LULUCF|NOx|Asthma symptoms cough", US_national_yearly!$D:$AM, 10, FALSE), 1)</f>
        <v>3.8144762214405956E-4</v>
      </c>
      <c r="G6" s="7">
        <f>$B6 * IFERROR(VLOOKUP("LULUCF|NOx|Asthma symptoms cough", US_national_yearly!$D:$AM, 15, FALSE) / VLOOKUP("LULUCF|NOx|Asthma symptoms cough", US_national_yearly!$D:$AM, 10, FALSE), 1)</f>
        <v>3.8539520152891868E-4</v>
      </c>
      <c r="H6" s="7">
        <f>$B6 * IFERROR(VLOOKUP("LULUCF|NOx|Asthma symptoms cough", US_national_yearly!$D:$AM, 16, FALSE) / VLOOKUP("LULUCF|NOx|Asthma symptoms cough", US_national_yearly!$D:$AM, 10, FALSE), 1)</f>
        <v>3.8934278091377791E-4</v>
      </c>
      <c r="I6" s="7">
        <f>$B6 * IFERROR(VLOOKUP("LULUCF|NOx|Asthma symptoms cough", US_national_yearly!$D:$AM, 17, FALSE) / VLOOKUP("LULUCF|NOx|Asthma symptoms cough", US_national_yearly!$D:$AM, 10, FALSE), 1)</f>
        <v>3.9070148130443329E-4</v>
      </c>
      <c r="J6" s="7">
        <f>$B6 * IFERROR(VLOOKUP("LULUCF|NOx|Asthma symptoms cough", US_national_yearly!$D:$AM, 18, FALSE) / VLOOKUP("LULUCF|NOx|Asthma symptoms cough", US_national_yearly!$D:$AM, 10, FALSE), 1)</f>
        <v>3.9206018169508873E-4</v>
      </c>
      <c r="K6" s="7">
        <f>$B6 * IFERROR(VLOOKUP("LULUCF|NOx|Asthma symptoms cough", US_national_yearly!$D:$AM, 19, FALSE) / VLOOKUP("LULUCF|NOx|Asthma symptoms cough", US_national_yearly!$D:$AM, 10, FALSE), 1)</f>
        <v>3.9341888208574405E-4</v>
      </c>
      <c r="L6" s="7">
        <f>$B6 * IFERROR(VLOOKUP("LULUCF|NOx|Asthma symptoms cough", US_national_yearly!$D:$AM, 20, FALSE) / VLOOKUP("LULUCF|NOx|Asthma symptoms cough", US_national_yearly!$D:$AM, 10, FALSE), 1)</f>
        <v>3.9477758247639943E-4</v>
      </c>
      <c r="M6" s="7">
        <f>$B6 * IFERROR(VLOOKUP("LULUCF|NOx|Asthma symptoms cough", US_national_yearly!$D:$AM, 21, FALSE) / VLOOKUP("LULUCF|NOx|Asthma symptoms cough", US_national_yearly!$D:$AM, 10, FALSE), 1)</f>
        <v>3.9613628286705487E-4</v>
      </c>
      <c r="N6" s="7">
        <f>$B6 * IFERROR(VLOOKUP("LULUCF|NOx|Asthma symptoms cough", US_national_yearly!$D:$AM, 22, FALSE) / VLOOKUP("LULUCF|NOx|Asthma symptoms cough", US_national_yearly!$D:$AM, 10, FALSE), 1)</f>
        <v>3.9771179714872808E-4</v>
      </c>
      <c r="O6" s="7">
        <f>$B6 * IFERROR(VLOOKUP("LULUCF|NOx|Asthma symptoms cough", US_national_yearly!$D:$AM, 23, FALSE) / VLOOKUP("LULUCF|NOx|Asthma symptoms cough", US_national_yearly!$D:$AM, 10, FALSE), 1)</f>
        <v>3.9928731143040134E-4</v>
      </c>
      <c r="P6" s="7">
        <f>$B6 * IFERROR(VLOOKUP("LULUCF|NOx|Asthma symptoms cough", US_national_yearly!$D:$AM, 24, FALSE) / VLOOKUP("LULUCF|NOx|Asthma symptoms cough", US_national_yearly!$D:$AM, 10, FALSE), 1)</f>
        <v>4.0086282571207455E-4</v>
      </c>
      <c r="Q6" s="7">
        <f>$B6 * IFERROR(VLOOKUP("LULUCF|NOx|Asthma symptoms cough", US_national_yearly!$D:$AM, 25, FALSE) / VLOOKUP("LULUCF|NOx|Asthma symptoms cough", US_national_yearly!$D:$AM, 10, FALSE), 1)</f>
        <v>4.0243833999374786E-4</v>
      </c>
      <c r="R6" s="7">
        <f>$B6 * IFERROR(VLOOKUP("LULUCF|NOx|Asthma symptoms cough", US_national_yearly!$D:$AM, 26, FALSE) / VLOOKUP("LULUCF|NOx|Asthma symptoms cough", US_national_yearly!$D:$AM, 10, FALSE), 1)</f>
        <v>4.0401385427542107E-4</v>
      </c>
      <c r="S6" s="7">
        <f>$B6 * IFERROR(VLOOKUP("LULUCF|NOx|Asthma symptoms cough", US_national_yearly!$D:$AM, 27, FALSE) / VLOOKUP("LULUCF|NOx|Asthma symptoms cough", US_national_yearly!$D:$AM, 10, FALSE), 1)</f>
        <v>4.0607197772486676E-4</v>
      </c>
      <c r="T6" s="7">
        <f>$B6 * IFERROR(VLOOKUP("LULUCF|NOx|Asthma symptoms cough", US_national_yearly!$D:$AM, 28, FALSE) / VLOOKUP("LULUCF|NOx|Asthma symptoms cough", US_national_yearly!$D:$AM, 10, FALSE), 1)</f>
        <v>4.0813010117431235E-4</v>
      </c>
      <c r="U6" s="7">
        <f>$B6 * IFERROR(VLOOKUP("LULUCF|NOx|Asthma symptoms cough", US_national_yearly!$D:$AM, 29, FALSE) / VLOOKUP("LULUCF|NOx|Asthma symptoms cough", US_national_yearly!$D:$AM, 10, FALSE), 1)</f>
        <v>4.1018822462375788E-4</v>
      </c>
      <c r="V6" s="7">
        <f>$B6 * IFERROR(VLOOKUP("LULUCF|NOx|Asthma symptoms cough", US_national_yearly!$D:$AM, 30, FALSE) / VLOOKUP("LULUCF|NOx|Asthma symptoms cough", US_national_yearly!$D:$AM, 10, FALSE), 1)</f>
        <v>4.1224634807320352E-4</v>
      </c>
      <c r="W6" s="7">
        <f>$B6 * IFERROR(VLOOKUP("LULUCF|NOx|Asthma symptoms cough", US_national_yearly!$D:$AM, 31, FALSE) / VLOOKUP("LULUCF|NOx|Asthma symptoms cough", US_national_yearly!$D:$AM, 10, FALSE), 1)</f>
        <v>4.143044715226491E-4</v>
      </c>
      <c r="X6" s="7">
        <f>$B6 * IFERROR(VLOOKUP("LULUCF|NOx|Asthma symptoms cough", US_national_yearly!$D:$AM, 32, FALSE) / VLOOKUP("LULUCF|NOx|Asthma symptoms cough", US_national_yearly!$D:$AM, 10, FALSE), 1)</f>
        <v>4.1621676392977915E-4</v>
      </c>
      <c r="Y6" s="7">
        <f>$B6 * IFERROR(VLOOKUP("LULUCF|NOx|Asthma symptoms cough", US_national_yearly!$D:$AM, 33, FALSE) / VLOOKUP("LULUCF|NOx|Asthma symptoms cough", US_national_yearly!$D:$AM, 10, FALSE), 1)</f>
        <v>4.1812905633690914E-4</v>
      </c>
      <c r="Z6" s="7">
        <f>$B6 * IFERROR(VLOOKUP("LULUCF|NOx|Asthma symptoms cough", US_national_yearly!$D:$AM, 34, FALSE) / VLOOKUP("LULUCF|NOx|Asthma symptoms cough", US_national_yearly!$D:$AM, 10, FALSE), 1)</f>
        <v>4.2004134874403919E-4</v>
      </c>
      <c r="AA6" s="7">
        <f>$B6 * IFERROR(VLOOKUP("LULUCF|NOx|Asthma symptoms cough", US_national_yearly!$D:$AM, 35, FALSE) / VLOOKUP("LULUCF|NOx|Asthma symptoms cough", US_national_yearly!$D:$AM, 10, FALSE), 1)</f>
        <v>4.2195364115116919E-4</v>
      </c>
      <c r="AB6" s="7">
        <f>$B6 * IFERROR(VLOOKUP("LULUCF|NOx|Asthma symptoms cough", US_national_yearly!$D:$AM, 36, FALSE) / VLOOKUP("LULUCF|NOx|Asthma symptoms cough", US_national_yearly!$D:$AM, 10, FALSE), 1)</f>
        <v>4.2386593355829929E-4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4.8703946530589661E-4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4.9369809106942456E-4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5.0035671683295235E-4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5.0701534259648025E-4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5.1367396836000815E-4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5.1898995054747914E-4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5.2430593273495012E-4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5.261356177988087E-4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5.2796530286266716E-4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5.2979498792652562E-4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5.3162467299038409E-4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5.3345435805424266E-4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5.3557601414461957E-4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5.3769767023499658E-4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5.3981932632537338E-4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5.419409824157504E-4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5.4406263850612731E-4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5.4683419711038417E-4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5.4960575571464114E-4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5.52377314318898E-4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5.5514887292315476E-4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5.5792043152741151E-4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5.6049560770198535E-4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5.6307078387655919E-4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5.6564596005113314E-4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5.6822113622570687E-4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5.7079631240028071E-4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7.4411580657431282E-4</v>
      </c>
      <c r="C8" s="7">
        <f>$B8 * IFERROR(VLOOKUP("LULUCF|NOx|Asthma symptoms wheeze", US_national_yearly!$D:$AM, 11, FALSE) / VLOOKUP("LULUCF|NOx|Asthma symptoms wheeze", US_national_yearly!$D:$AM, 10, FALSE), 1)</f>
        <v>7.5428908624539787E-4</v>
      </c>
      <c r="D8" s="7">
        <f>$B8 * IFERROR(VLOOKUP("LULUCF|NOx|Asthma symptoms wheeze", US_national_yearly!$D:$AM, 12, FALSE) / VLOOKUP("LULUCF|NOx|Asthma symptoms wheeze", US_national_yearly!$D:$AM, 10, FALSE), 1)</f>
        <v>7.6446236591648335E-4</v>
      </c>
      <c r="E8" s="7">
        <f>$B8 * IFERROR(VLOOKUP("LULUCF|NOx|Asthma symptoms wheeze", US_national_yearly!$D:$AM, 13, FALSE) / VLOOKUP("LULUCF|NOx|Asthma symptoms wheeze", US_national_yearly!$D:$AM, 10, FALSE), 1)</f>
        <v>7.746356455875684E-4</v>
      </c>
      <c r="F8" s="7">
        <f>$B8 * IFERROR(VLOOKUP("LULUCF|NOx|Asthma symptoms wheeze", US_national_yearly!$D:$AM, 14, FALSE) / VLOOKUP("LULUCF|NOx|Asthma symptoms wheeze", US_national_yearly!$D:$AM, 10, FALSE), 1)</f>
        <v>7.8480892525865356E-4</v>
      </c>
      <c r="G8" s="7">
        <f>$B8 * IFERROR(VLOOKUP("LULUCF|NOx|Asthma symptoms wheeze", US_national_yearly!$D:$AM, 15, FALSE) / VLOOKUP("LULUCF|NOx|Asthma symptoms wheeze", US_national_yearly!$D:$AM, 10, FALSE), 1)</f>
        <v>7.929308674622758E-4</v>
      </c>
      <c r="H8" s="7">
        <f>$B8 * IFERROR(VLOOKUP("LULUCF|NOx|Asthma symptoms wheeze", US_national_yearly!$D:$AM, 16, FALSE) / VLOOKUP("LULUCF|NOx|Asthma symptoms wheeze", US_national_yearly!$D:$AM, 10, FALSE), 1)</f>
        <v>8.0105280966589803E-4</v>
      </c>
      <c r="I8" s="7">
        <f>$B8 * IFERROR(VLOOKUP("LULUCF|NOx|Asthma symptoms wheeze", US_national_yearly!$D:$AM, 17, FALSE) / VLOOKUP("LULUCF|NOx|Asthma symptoms wheeze", US_national_yearly!$D:$AM, 10, FALSE), 1)</f>
        <v>8.0384826607344325E-4</v>
      </c>
      <c r="J8" s="7">
        <f>$B8 * IFERROR(VLOOKUP("LULUCF|NOx|Asthma symptoms wheeze", US_national_yearly!$D:$AM, 18, FALSE) / VLOOKUP("LULUCF|NOx|Asthma symptoms wheeze", US_national_yearly!$D:$AM, 10, FALSE), 1)</f>
        <v>8.0664372248098867E-4</v>
      </c>
      <c r="K8" s="7">
        <f>$B8 * IFERROR(VLOOKUP("LULUCF|NOx|Asthma symptoms wheeze", US_national_yearly!$D:$AM, 19, FALSE) / VLOOKUP("LULUCF|NOx|Asthma symptoms wheeze", US_national_yearly!$D:$AM, 10, FALSE), 1)</f>
        <v>8.0943917888853388E-4</v>
      </c>
      <c r="L8" s="7">
        <f>$B8 * IFERROR(VLOOKUP("LULUCF|NOx|Asthma symptoms wheeze", US_national_yearly!$D:$AM, 20, FALSE) / VLOOKUP("LULUCF|NOx|Asthma symptoms wheeze", US_national_yearly!$D:$AM, 10, FALSE), 1)</f>
        <v>8.1223463529607931E-4</v>
      </c>
      <c r="M8" s="7">
        <f>$B8 * IFERROR(VLOOKUP("LULUCF|NOx|Asthma symptoms wheeze", US_national_yearly!$D:$AM, 21, FALSE) / VLOOKUP("LULUCF|NOx|Asthma symptoms wheeze", US_national_yearly!$D:$AM, 10, FALSE), 1)</f>
        <v>8.1503009170362452E-4</v>
      </c>
      <c r="N8" s="7">
        <f>$B8 * IFERROR(VLOOKUP("LULUCF|NOx|Asthma symptoms wheeze", US_national_yearly!$D:$AM, 22, FALSE) / VLOOKUP("LULUCF|NOx|Asthma symptoms wheeze", US_national_yearly!$D:$AM, 10, FALSE), 1)</f>
        <v>8.1827163157947272E-4</v>
      </c>
      <c r="O8" s="7">
        <f>$B8 * IFERROR(VLOOKUP("LULUCF|NOx|Asthma symptoms wheeze", US_national_yearly!$D:$AM, 23, FALSE) / VLOOKUP("LULUCF|NOx|Asthma symptoms wheeze", US_national_yearly!$D:$AM, 10, FALSE), 1)</f>
        <v>8.2151317145532103E-4</v>
      </c>
      <c r="P8" s="7">
        <f>$B8 * IFERROR(VLOOKUP("LULUCF|NOx|Asthma symptoms wheeze", US_national_yearly!$D:$AM, 24, FALSE) / VLOOKUP("LULUCF|NOx|Asthma symptoms wheeze", US_national_yearly!$D:$AM, 10, FALSE), 1)</f>
        <v>8.2475471133116912E-4</v>
      </c>
      <c r="Q8" s="7">
        <f>$B8 * IFERROR(VLOOKUP("LULUCF|NOx|Asthma symptoms wheeze", US_national_yearly!$D:$AM, 25, FALSE) / VLOOKUP("LULUCF|NOx|Asthma symptoms wheeze", US_national_yearly!$D:$AM, 10, FALSE), 1)</f>
        <v>8.2799625120701743E-4</v>
      </c>
      <c r="R8" s="7">
        <f>$B8 * IFERROR(VLOOKUP("LULUCF|NOx|Asthma symptoms wheeze", US_national_yearly!$D:$AM, 26, FALSE) / VLOOKUP("LULUCF|NOx|Asthma symptoms wheeze", US_national_yearly!$D:$AM, 10, FALSE), 1)</f>
        <v>8.3123779108286553E-4</v>
      </c>
      <c r="S8" s="7">
        <f>$B8 * IFERROR(VLOOKUP("LULUCF|NOx|Asthma symptoms wheeze", US_national_yearly!$D:$AM, 27, FALSE) / VLOOKUP("LULUCF|NOx|Asthma symptoms wheeze", US_national_yearly!$D:$AM, 10, FALSE), 1)</f>
        <v>8.3547227458101502E-4</v>
      </c>
      <c r="T8" s="7">
        <f>$B8 * IFERROR(VLOOKUP("LULUCF|NOx|Asthma symptoms wheeze", US_national_yearly!$D:$AM, 28, FALSE) / VLOOKUP("LULUCF|NOx|Asthma symptoms wheeze", US_national_yearly!$D:$AM, 10, FALSE), 1)</f>
        <v>8.3970675807916451E-4</v>
      </c>
      <c r="U8" s="7">
        <f>$B8 * IFERROR(VLOOKUP("LULUCF|NOx|Asthma symptoms wheeze", US_national_yearly!$D:$AM, 29, FALSE) / VLOOKUP("LULUCF|NOx|Asthma symptoms wheeze", US_national_yearly!$D:$AM, 10, FALSE), 1)</f>
        <v>8.439412415773141E-4</v>
      </c>
      <c r="V8" s="7">
        <f>$B8 * IFERROR(VLOOKUP("LULUCF|NOx|Asthma symptoms wheeze", US_national_yearly!$D:$AM, 30, FALSE) / VLOOKUP("LULUCF|NOx|Asthma symptoms wheeze", US_national_yearly!$D:$AM, 10, FALSE), 1)</f>
        <v>8.481757250754637E-4</v>
      </c>
      <c r="W8" s="7">
        <f>$B8 * IFERROR(VLOOKUP("LULUCF|NOx|Asthma symptoms wheeze", US_national_yearly!$D:$AM, 31, FALSE) / VLOOKUP("LULUCF|NOx|Asthma symptoms wheeze", US_national_yearly!$D:$AM, 10, FALSE), 1)</f>
        <v>8.5241020857361308E-4</v>
      </c>
      <c r="X8" s="7">
        <f>$B8 * IFERROR(VLOOKUP("LULUCF|NOx|Asthma symptoms wheeze", US_national_yearly!$D:$AM, 32, FALSE) / VLOOKUP("LULUCF|NOx|Asthma symptoms wheeze", US_national_yearly!$D:$AM, 10, FALSE), 1)</f>
        <v>8.5634465217613784E-4</v>
      </c>
      <c r="Y8" s="7">
        <f>$B8 * IFERROR(VLOOKUP("LULUCF|NOx|Asthma symptoms wheeze", US_national_yearly!$D:$AM, 33, FALSE) / VLOOKUP("LULUCF|NOx|Asthma symptoms wheeze", US_national_yearly!$D:$AM, 10, FALSE), 1)</f>
        <v>8.6027909577866249E-4</v>
      </c>
      <c r="Z8" s="7">
        <f>$B8 * IFERROR(VLOOKUP("LULUCF|NOx|Asthma symptoms wheeze", US_national_yearly!$D:$AM, 34, FALSE) / VLOOKUP("LULUCF|NOx|Asthma symptoms wheeze", US_national_yearly!$D:$AM, 10, FALSE), 1)</f>
        <v>8.6421353938118724E-4</v>
      </c>
      <c r="AA8" s="7">
        <f>$B8 * IFERROR(VLOOKUP("LULUCF|NOx|Asthma symptoms wheeze", US_national_yearly!$D:$AM, 35, FALSE) / VLOOKUP("LULUCF|NOx|Asthma symptoms wheeze", US_national_yearly!$D:$AM, 10, FALSE), 1)</f>
        <v>8.6814798298371189E-4</v>
      </c>
      <c r="AB8" s="7">
        <f>$B8 * IFERROR(VLOOKUP("LULUCF|NOx|Asthma symptoms wheeze", US_national_yearly!$D:$AM, 36, FALSE) / VLOOKUP("LULUCF|NOx|Asthma symptoms wheeze", US_national_yearly!$D:$AM, 10, FALSE), 1)</f>
        <v>8.7208242658623676E-4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3.9599226976726708E-6</v>
      </c>
      <c r="C12" s="7">
        <f>$B12 * IFERROR(VLOOKUP("LULUCF|NOx|Respiratory hospital admissions", US_national_yearly!$D:$AM, 11, FALSE) / VLOOKUP("LULUCF|NOx|Respiratory hospital admissions", US_national_yearly!$D:$AM, 10, FALSE), 1)</f>
        <v>4.0587016416143006E-6</v>
      </c>
      <c r="D12" s="7">
        <f>$B12 * IFERROR(VLOOKUP("LULUCF|NOx|Respiratory hospital admissions", US_national_yearly!$D:$AM, 12, FALSE) / VLOOKUP("LULUCF|NOx|Respiratory hospital admissions", US_national_yearly!$D:$AM, 10, FALSE), 1)</f>
        <v>4.1574805855559312E-6</v>
      </c>
      <c r="E12" s="7">
        <f>$B12 * IFERROR(VLOOKUP("LULUCF|NOx|Respiratory hospital admissions", US_national_yearly!$D:$AM, 13, FALSE) / VLOOKUP("LULUCF|NOx|Respiratory hospital admissions", US_national_yearly!$D:$AM, 10, FALSE), 1)</f>
        <v>4.2562595294975618E-6</v>
      </c>
      <c r="F12" s="7">
        <f>$B12 * IFERROR(VLOOKUP("LULUCF|NOx|Respiratory hospital admissions", US_national_yearly!$D:$AM, 14, FALSE) / VLOOKUP("LULUCF|NOx|Respiratory hospital admissions", US_national_yearly!$D:$AM, 10, FALSE), 1)</f>
        <v>4.3550384734391933E-6</v>
      </c>
      <c r="G12" s="7">
        <f>$B12 * IFERROR(VLOOKUP("LULUCF|NOx|Respiratory hospital admissions", US_national_yearly!$D:$AM, 15, FALSE) / VLOOKUP("LULUCF|NOx|Respiratory hospital admissions", US_national_yearly!$D:$AM, 10, FALSE), 1)</f>
        <v>4.4494745058824428E-6</v>
      </c>
      <c r="H12" s="7">
        <f>$B12 * IFERROR(VLOOKUP("LULUCF|NOx|Respiratory hospital admissions", US_national_yearly!$D:$AM, 16, FALSE) / VLOOKUP("LULUCF|NOx|Respiratory hospital admissions", US_national_yearly!$D:$AM, 10, FALSE), 1)</f>
        <v>4.5439105383256923E-6</v>
      </c>
      <c r="I12" s="7">
        <f>$B12 * IFERROR(VLOOKUP("LULUCF|NOx|Respiratory hospital admissions", US_national_yearly!$D:$AM, 17, FALSE) / VLOOKUP("LULUCF|NOx|Respiratory hospital admissions", US_national_yearly!$D:$AM, 10, FALSE), 1)</f>
        <v>4.6240886712783659E-6</v>
      </c>
      <c r="J12" s="7">
        <f>$B12 * IFERROR(VLOOKUP("LULUCF|NOx|Respiratory hospital admissions", US_national_yearly!$D:$AM, 18, FALSE) / VLOOKUP("LULUCF|NOx|Respiratory hospital admissions", US_national_yearly!$D:$AM, 10, FALSE), 1)</f>
        <v>4.7042668042310395E-6</v>
      </c>
      <c r="K12" s="7">
        <f>$B12 * IFERROR(VLOOKUP("LULUCF|NOx|Respiratory hospital admissions", US_national_yearly!$D:$AM, 19, FALSE) / VLOOKUP("LULUCF|NOx|Respiratory hospital admissions", US_national_yearly!$D:$AM, 10, FALSE), 1)</f>
        <v>4.7844449371837131E-6</v>
      </c>
      <c r="L12" s="7">
        <f>$B12 * IFERROR(VLOOKUP("LULUCF|NOx|Respiratory hospital admissions", US_national_yearly!$D:$AM, 20, FALSE) / VLOOKUP("LULUCF|NOx|Respiratory hospital admissions", US_national_yearly!$D:$AM, 10, FALSE), 1)</f>
        <v>4.8646230701363867E-6</v>
      </c>
      <c r="M12" s="7">
        <f>$B12 * IFERROR(VLOOKUP("LULUCF|NOx|Respiratory hospital admissions", US_national_yearly!$D:$AM, 21, FALSE) / VLOOKUP("LULUCF|NOx|Respiratory hospital admissions", US_national_yearly!$D:$AM, 10, FALSE), 1)</f>
        <v>4.9448012030890612E-6</v>
      </c>
      <c r="N12" s="7">
        <f>$B12 * IFERROR(VLOOKUP("LULUCF|NOx|Respiratory hospital admissions", US_national_yearly!$D:$AM, 22, FALSE) / VLOOKUP("LULUCF|NOx|Respiratory hospital admissions", US_national_yearly!$D:$AM, 10, FALSE), 1)</f>
        <v>4.9984017285398766E-6</v>
      </c>
      <c r="O12" s="7">
        <f>$B12 * IFERROR(VLOOKUP("LULUCF|NOx|Respiratory hospital admissions", US_national_yearly!$D:$AM, 23, FALSE) / VLOOKUP("LULUCF|NOx|Respiratory hospital admissions", US_national_yearly!$D:$AM, 10, FALSE), 1)</f>
        <v>5.0520022539906936E-6</v>
      </c>
      <c r="P12" s="7">
        <f>$B12 * IFERROR(VLOOKUP("LULUCF|NOx|Respiratory hospital admissions", US_national_yearly!$D:$AM, 24, FALSE) / VLOOKUP("LULUCF|NOx|Respiratory hospital admissions", US_national_yearly!$D:$AM, 10, FALSE), 1)</f>
        <v>5.1056027794415107E-6</v>
      </c>
      <c r="Q12" s="7">
        <f>$B12 * IFERROR(VLOOKUP("LULUCF|NOx|Respiratory hospital admissions", US_national_yearly!$D:$AM, 25, FALSE) / VLOOKUP("LULUCF|NOx|Respiratory hospital admissions", US_national_yearly!$D:$AM, 10, FALSE), 1)</f>
        <v>5.1592033048923278E-6</v>
      </c>
      <c r="R12" s="7">
        <f>$B12 * IFERROR(VLOOKUP("LULUCF|NOx|Respiratory hospital admissions", US_national_yearly!$D:$AM, 26, FALSE) / VLOOKUP("LULUCF|NOx|Respiratory hospital admissions", US_national_yearly!$D:$AM, 10, FALSE), 1)</f>
        <v>5.2128038303431441E-6</v>
      </c>
      <c r="S12" s="7">
        <f>$B12 * IFERROR(VLOOKUP("LULUCF|NOx|Respiratory hospital admissions", US_national_yearly!$D:$AM, 27, FALSE) / VLOOKUP("LULUCF|NOx|Respiratory hospital admissions", US_national_yearly!$D:$AM, 10, FALSE), 1)</f>
        <v>5.2415215394736888E-6</v>
      </c>
      <c r="T12" s="7">
        <f>$B12 * IFERROR(VLOOKUP("LULUCF|NOx|Respiratory hospital admissions", US_national_yearly!$D:$AM, 28, FALSE) / VLOOKUP("LULUCF|NOx|Respiratory hospital admissions", US_national_yearly!$D:$AM, 10, FALSE), 1)</f>
        <v>5.2702392486042335E-6</v>
      </c>
      <c r="U12" s="7">
        <f>$B12 * IFERROR(VLOOKUP("LULUCF|NOx|Respiratory hospital admissions", US_national_yearly!$D:$AM, 29, FALSE) / VLOOKUP("LULUCF|NOx|Respiratory hospital admissions", US_national_yearly!$D:$AM, 10, FALSE), 1)</f>
        <v>5.2989569577347782E-6</v>
      </c>
      <c r="V12" s="7">
        <f>$B12 * IFERROR(VLOOKUP("LULUCF|NOx|Respiratory hospital admissions", US_national_yearly!$D:$AM, 30, FALSE) / VLOOKUP("LULUCF|NOx|Respiratory hospital admissions", US_national_yearly!$D:$AM, 10, FALSE), 1)</f>
        <v>5.327674666865323E-6</v>
      </c>
      <c r="W12" s="7">
        <f>$B12 * IFERROR(VLOOKUP("LULUCF|NOx|Respiratory hospital admissions", US_national_yearly!$D:$AM, 31, FALSE) / VLOOKUP("LULUCF|NOx|Respiratory hospital admissions", US_national_yearly!$D:$AM, 10, FALSE), 1)</f>
        <v>5.3563923759958685E-6</v>
      </c>
      <c r="X12" s="7">
        <f>$B12 * IFERROR(VLOOKUP("LULUCF|NOx|Respiratory hospital admissions", US_national_yearly!$D:$AM, 32, FALSE) / VLOOKUP("LULUCF|NOx|Respiratory hospital admissions", US_national_yearly!$D:$AM, 10, FALSE), 1)</f>
        <v>5.3760171992827685E-6</v>
      </c>
      <c r="Y12" s="7">
        <f>$B12 * IFERROR(VLOOKUP("LULUCF|NOx|Respiratory hospital admissions", US_national_yearly!$D:$AM, 33, FALSE) / VLOOKUP("LULUCF|NOx|Respiratory hospital admissions", US_national_yearly!$D:$AM, 10, FALSE), 1)</f>
        <v>5.3956420225696701E-6</v>
      </c>
      <c r="Z12" s="7">
        <f>$B12 * IFERROR(VLOOKUP("LULUCF|NOx|Respiratory hospital admissions", US_national_yearly!$D:$AM, 34, FALSE) / VLOOKUP("LULUCF|NOx|Respiratory hospital admissions", US_national_yearly!$D:$AM, 10, FALSE), 1)</f>
        <v>5.4152668458565709E-6</v>
      </c>
      <c r="AA12" s="7">
        <f>$B12 * IFERROR(VLOOKUP("LULUCF|NOx|Respiratory hospital admissions", US_national_yearly!$D:$AM, 35, FALSE) / VLOOKUP("LULUCF|NOx|Respiratory hospital admissions", US_national_yearly!$D:$AM, 10, FALSE), 1)</f>
        <v>5.4348916691434726E-6</v>
      </c>
      <c r="AB12" s="7">
        <f>$B12 * IFERROR(VLOOKUP("LULUCF|NOx|Respiratory hospital admissions", US_national_yearly!$D:$AM, 36, FALSE) / VLOOKUP("LULUCF|NOx|Respiratory hospital admissions", US_national_yearly!$D:$AM, 10, FALSE), 1)</f>
        <v>5.4545164924303725E-6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2.7662957442365035E-5</v>
      </c>
      <c r="C13" s="7">
        <f>$B13 * IFERROR(VLOOKUP("LULUCF|NOx|Non-fatal heart attacks", US_national_yearly!$D:$AM, 11, FALSE) / VLOOKUP("LULUCF|NOx|Non-fatal heart attacks", US_national_yearly!$D:$AM, 10, FALSE), 1)</f>
        <v>2.8453817023021717E-5</v>
      </c>
      <c r="D13" s="7">
        <f>$B13 * IFERROR(VLOOKUP("LULUCF|NOx|Non-fatal heart attacks", US_national_yearly!$D:$AM, 12, FALSE) / VLOOKUP("LULUCF|NOx|Non-fatal heart attacks", US_national_yearly!$D:$AM, 10, FALSE), 1)</f>
        <v>2.9244676603678395E-5</v>
      </c>
      <c r="E13" s="7">
        <f>$B13 * IFERROR(VLOOKUP("LULUCF|NOx|Non-fatal heart attacks", US_national_yearly!$D:$AM, 13, FALSE) / VLOOKUP("LULUCF|NOx|Non-fatal heart attacks", US_national_yearly!$D:$AM, 10, FALSE), 1)</f>
        <v>3.003553618433507E-5</v>
      </c>
      <c r="F13" s="7">
        <f>$B13 * IFERROR(VLOOKUP("LULUCF|NOx|Non-fatal heart attacks", US_national_yearly!$D:$AM, 14, FALSE) / VLOOKUP("LULUCF|NOx|Non-fatal heart attacks", US_national_yearly!$D:$AM, 10, FALSE), 1)</f>
        <v>3.0826395764991748E-5</v>
      </c>
      <c r="G13" s="7">
        <f>$B13 * IFERROR(VLOOKUP("LULUCF|NOx|Non-fatal heart attacks", US_national_yearly!$D:$AM, 15, FALSE) / VLOOKUP("LULUCF|NOx|Non-fatal heart attacks", US_national_yearly!$D:$AM, 10, FALSE), 1)</f>
        <v>3.1565452399434687E-5</v>
      </c>
      <c r="H13" s="7">
        <f>$B13 * IFERROR(VLOOKUP("LULUCF|NOx|Non-fatal heart attacks", US_national_yearly!$D:$AM, 16, FALSE) / VLOOKUP("LULUCF|NOx|Non-fatal heart attacks", US_national_yearly!$D:$AM, 10, FALSE), 1)</f>
        <v>3.2304509033877625E-5</v>
      </c>
      <c r="I13" s="7">
        <f>$B13 * IFERROR(VLOOKUP("LULUCF|NOx|Non-fatal heart attacks", US_national_yearly!$D:$AM, 17, FALSE) / VLOOKUP("LULUCF|NOx|Non-fatal heart attacks", US_national_yearly!$D:$AM, 10, FALSE), 1)</f>
        <v>3.2887170707896087E-5</v>
      </c>
      <c r="J13" s="7">
        <f>$B13 * IFERROR(VLOOKUP("LULUCF|NOx|Non-fatal heart attacks", US_national_yearly!$D:$AM, 18, FALSE) / VLOOKUP("LULUCF|NOx|Non-fatal heart attacks", US_national_yearly!$D:$AM, 10, FALSE), 1)</f>
        <v>3.3469832381914556E-5</v>
      </c>
      <c r="K13" s="7">
        <f>$B13 * IFERROR(VLOOKUP("LULUCF|NOx|Non-fatal heart attacks", US_national_yearly!$D:$AM, 19, FALSE) / VLOOKUP("LULUCF|NOx|Non-fatal heart attacks", US_national_yearly!$D:$AM, 10, FALSE), 1)</f>
        <v>3.4052494055932997E-5</v>
      </c>
      <c r="L13" s="7">
        <f>$B13 * IFERROR(VLOOKUP("LULUCF|NOx|Non-fatal heart attacks", US_national_yearly!$D:$AM, 20, FALSE) / VLOOKUP("LULUCF|NOx|Non-fatal heart attacks", US_national_yearly!$D:$AM, 10, FALSE), 1)</f>
        <v>3.4635155729951486E-5</v>
      </c>
      <c r="M13" s="7">
        <f>$B13 * IFERROR(VLOOKUP("LULUCF|NOx|Non-fatal heart attacks", US_national_yearly!$D:$AM, 21, FALSE) / VLOOKUP("LULUCF|NOx|Non-fatal heart attacks", US_national_yearly!$D:$AM, 10, FALSE), 1)</f>
        <v>3.5217817403969942E-5</v>
      </c>
      <c r="N13" s="7">
        <f>$B13 * IFERROR(VLOOKUP("LULUCF|NOx|Non-fatal heart attacks", US_national_yearly!$D:$AM, 22, FALSE) / VLOOKUP("LULUCF|NOx|Non-fatal heart attacks", US_national_yearly!$D:$AM, 10, FALSE), 1)</f>
        <v>3.5568364337194002E-5</v>
      </c>
      <c r="O13" s="7">
        <f>$B13 * IFERROR(VLOOKUP("LULUCF|NOx|Non-fatal heart attacks", US_national_yearly!$D:$AM, 23, FALSE) / VLOOKUP("LULUCF|NOx|Non-fatal heart attacks", US_national_yearly!$D:$AM, 10, FALSE), 1)</f>
        <v>3.5918911270418063E-5</v>
      </c>
      <c r="P13" s="7">
        <f>$B13 * IFERROR(VLOOKUP("LULUCF|NOx|Non-fatal heart attacks", US_national_yearly!$D:$AM, 24, FALSE) / VLOOKUP("LULUCF|NOx|Non-fatal heart attacks", US_national_yearly!$D:$AM, 10, FALSE), 1)</f>
        <v>3.6269458203642117E-5</v>
      </c>
      <c r="Q13" s="7">
        <f>$B13 * IFERROR(VLOOKUP("LULUCF|NOx|Non-fatal heart attacks", US_national_yearly!$D:$AM, 25, FALSE) / VLOOKUP("LULUCF|NOx|Non-fatal heart attacks", US_national_yearly!$D:$AM, 10, FALSE), 1)</f>
        <v>3.6620005136866178E-5</v>
      </c>
      <c r="R13" s="7">
        <f>$B13 * IFERROR(VLOOKUP("LULUCF|NOx|Non-fatal heart attacks", US_national_yearly!$D:$AM, 26, FALSE) / VLOOKUP("LULUCF|NOx|Non-fatal heart attacks", US_national_yearly!$D:$AM, 10, FALSE), 1)</f>
        <v>3.6970552070090238E-5</v>
      </c>
      <c r="S13" s="7">
        <f>$B13 * IFERROR(VLOOKUP("LULUCF|NOx|Non-fatal heart attacks", US_national_yearly!$D:$AM, 27, FALSE) / VLOOKUP("LULUCF|NOx|Non-fatal heart attacks", US_national_yearly!$D:$AM, 10, FALSE), 1)</f>
        <v>3.7129562583513673E-5</v>
      </c>
      <c r="T13" s="7">
        <f>$B13 * IFERROR(VLOOKUP("LULUCF|NOx|Non-fatal heart attacks", US_national_yearly!$D:$AM, 28, FALSE) / VLOOKUP("LULUCF|NOx|Non-fatal heart attacks", US_national_yearly!$D:$AM, 10, FALSE), 1)</f>
        <v>3.72885730969371E-5</v>
      </c>
      <c r="U13" s="7">
        <f>$B13 * IFERROR(VLOOKUP("LULUCF|NOx|Non-fatal heart attacks", US_national_yearly!$D:$AM, 29, FALSE) / VLOOKUP("LULUCF|NOx|Non-fatal heart attacks", US_national_yearly!$D:$AM, 10, FALSE), 1)</f>
        <v>3.7447583610360535E-5</v>
      </c>
      <c r="V13" s="7">
        <f>$B13 * IFERROR(VLOOKUP("LULUCF|NOx|Non-fatal heart attacks", US_national_yearly!$D:$AM, 30, FALSE) / VLOOKUP("LULUCF|NOx|Non-fatal heart attacks", US_national_yearly!$D:$AM, 10, FALSE), 1)</f>
        <v>3.7606594123783962E-5</v>
      </c>
      <c r="W13" s="7">
        <f>$B13 * IFERROR(VLOOKUP("LULUCF|NOx|Non-fatal heart attacks", US_national_yearly!$D:$AM, 31, FALSE) / VLOOKUP("LULUCF|NOx|Non-fatal heart attacks", US_national_yearly!$D:$AM, 10, FALSE), 1)</f>
        <v>3.7765604637207396E-5</v>
      </c>
      <c r="X13" s="7">
        <f>$B13 * IFERROR(VLOOKUP("LULUCF|NOx|Non-fatal heart attacks", US_national_yearly!$D:$AM, 32, FALSE) / VLOOKUP("LULUCF|NOx|Non-fatal heart attacks", US_national_yearly!$D:$AM, 10, FALSE), 1)</f>
        <v>3.7871863829125598E-5</v>
      </c>
      <c r="Y13" s="7">
        <f>$B13 * IFERROR(VLOOKUP("LULUCF|NOx|Non-fatal heart attacks", US_national_yearly!$D:$AM, 33, FALSE) / VLOOKUP("LULUCF|NOx|Non-fatal heart attacks", US_national_yearly!$D:$AM, 10, FALSE), 1)</f>
        <v>3.7978123021043806E-5</v>
      </c>
      <c r="Z13" s="7">
        <f>$B13 * IFERROR(VLOOKUP("LULUCF|NOx|Non-fatal heart attacks", US_national_yearly!$D:$AM, 34, FALSE) / VLOOKUP("LULUCF|NOx|Non-fatal heart attacks", US_national_yearly!$D:$AM, 10, FALSE), 1)</f>
        <v>3.8084382212962008E-5</v>
      </c>
      <c r="AA13" s="7">
        <f>$B13 * IFERROR(VLOOKUP("LULUCF|NOx|Non-fatal heart attacks", US_national_yearly!$D:$AM, 35, FALSE) / VLOOKUP("LULUCF|NOx|Non-fatal heart attacks", US_national_yearly!$D:$AM, 10, FALSE), 1)</f>
        <v>3.8190641404880209E-5</v>
      </c>
      <c r="AB13" s="7">
        <f>$B13 * IFERROR(VLOOKUP("LULUCF|NOx|Non-fatal heart attacks", US_national_yearly!$D:$AM, 36, FALSE) / VLOOKUP("LULUCF|NOx|Non-fatal heart attacks", US_national_yearly!$D:$AM, 10, FALSE), 1)</f>
        <v>3.8296900596798424E-5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3.4895818391862968E-2</v>
      </c>
      <c r="C14" s="7">
        <f>$B14 * IFERROR(VLOOKUP("LULUCF|NOx|Minor restricted activity days", US_national_yearly!$D:$AM, 11, FALSE) / VLOOKUP("LULUCF|NOx|Minor restricted activity days", US_national_yearly!$D:$AM, 10, FALSE), 1)</f>
        <v>3.494931953762586E-2</v>
      </c>
      <c r="D14" s="7">
        <f>$B14 * IFERROR(VLOOKUP("LULUCF|NOx|Minor restricted activity days", US_national_yearly!$D:$AM, 12, FALSE) / VLOOKUP("LULUCF|NOx|Minor restricted activity days", US_national_yearly!$D:$AM, 10, FALSE), 1)</f>
        <v>3.5002820683388766E-2</v>
      </c>
      <c r="E14" s="7">
        <f>$B14 * IFERROR(VLOOKUP("LULUCF|NOx|Minor restricted activity days", US_national_yearly!$D:$AM, 13, FALSE) / VLOOKUP("LULUCF|NOx|Minor restricted activity days", US_national_yearly!$D:$AM, 10, FALSE), 1)</f>
        <v>3.5056321829151665E-2</v>
      </c>
      <c r="F14" s="7">
        <f>$B14 * IFERROR(VLOOKUP("LULUCF|NOx|Minor restricted activity days", US_national_yearly!$D:$AM, 14, FALSE) / VLOOKUP("LULUCF|NOx|Minor restricted activity days", US_national_yearly!$D:$AM, 10, FALSE), 1)</f>
        <v>3.5109822974914558E-2</v>
      </c>
      <c r="G14" s="7">
        <f>$B14 * IFERROR(VLOOKUP("LULUCF|NOx|Minor restricted activity days", US_national_yearly!$D:$AM, 15, FALSE) / VLOOKUP("LULUCF|NOx|Minor restricted activity days", US_national_yearly!$D:$AM, 10, FALSE), 1)</f>
        <v>3.5206433309795414E-2</v>
      </c>
      <c r="H14" s="7">
        <f>$B14 * IFERROR(VLOOKUP("LULUCF|NOx|Minor restricted activity days", US_national_yearly!$D:$AM, 16, FALSE) / VLOOKUP("LULUCF|NOx|Minor restricted activity days", US_national_yearly!$D:$AM, 10, FALSE), 1)</f>
        <v>3.5303043644676256E-2</v>
      </c>
      <c r="I14" s="7">
        <f>$B14 * IFERROR(VLOOKUP("LULUCF|NOx|Minor restricted activity days", US_national_yearly!$D:$AM, 17, FALSE) / VLOOKUP("LULUCF|NOx|Minor restricted activity days", US_national_yearly!$D:$AM, 10, FALSE), 1)</f>
        <v>3.5492009639335249E-2</v>
      </c>
      <c r="J14" s="7">
        <f>$B14 * IFERROR(VLOOKUP("LULUCF|NOx|Minor restricted activity days", US_national_yearly!$D:$AM, 18, FALSE) / VLOOKUP("LULUCF|NOx|Minor restricted activity days", US_national_yearly!$D:$AM, 10, FALSE), 1)</f>
        <v>3.5680975633994236E-2</v>
      </c>
      <c r="K14" s="7">
        <f>$B14 * IFERROR(VLOOKUP("LULUCF|NOx|Minor restricted activity days", US_national_yearly!$D:$AM, 19, FALSE) / VLOOKUP("LULUCF|NOx|Minor restricted activity days", US_national_yearly!$D:$AM, 10, FALSE), 1)</f>
        <v>3.5869941628653222E-2</v>
      </c>
      <c r="L14" s="7">
        <f>$B14 * IFERROR(VLOOKUP("LULUCF|NOx|Minor restricted activity days", US_national_yearly!$D:$AM, 20, FALSE) / VLOOKUP("LULUCF|NOx|Minor restricted activity days", US_national_yearly!$D:$AM, 10, FALSE), 1)</f>
        <v>3.6058907623312209E-2</v>
      </c>
      <c r="M14" s="7">
        <f>$B14 * IFERROR(VLOOKUP("LULUCF|NOx|Minor restricted activity days", US_national_yearly!$D:$AM, 21, FALSE) / VLOOKUP("LULUCF|NOx|Minor restricted activity days", US_national_yearly!$D:$AM, 10, FALSE), 1)</f>
        <v>3.6247873617971202E-2</v>
      </c>
      <c r="N14" s="7">
        <f>$B14 * IFERROR(VLOOKUP("LULUCF|NOx|Minor restricted activity days", US_national_yearly!$D:$AM, 22, FALSE) / VLOOKUP("LULUCF|NOx|Minor restricted activity days", US_national_yearly!$D:$AM, 10, FALSE), 1)</f>
        <v>3.6518430075211626E-2</v>
      </c>
      <c r="O14" s="7">
        <f>$B14 * IFERROR(VLOOKUP("LULUCF|NOx|Minor restricted activity days", US_national_yearly!$D:$AM, 23, FALSE) / VLOOKUP("LULUCF|NOx|Minor restricted activity days", US_national_yearly!$D:$AM, 10, FALSE), 1)</f>
        <v>3.6788986532452057E-2</v>
      </c>
      <c r="P14" s="7">
        <f>$B14 * IFERROR(VLOOKUP("LULUCF|NOx|Minor restricted activity days", US_national_yearly!$D:$AM, 24, FALSE) / VLOOKUP("LULUCF|NOx|Minor restricted activity days", US_national_yearly!$D:$AM, 10, FALSE), 1)</f>
        <v>3.7059542989692489E-2</v>
      </c>
      <c r="Q14" s="7">
        <f>$B14 * IFERROR(VLOOKUP("LULUCF|NOx|Minor restricted activity days", US_national_yearly!$D:$AM, 25, FALSE) / VLOOKUP("LULUCF|NOx|Minor restricted activity days", US_national_yearly!$D:$AM, 10, FALSE), 1)</f>
        <v>3.733009944693292E-2</v>
      </c>
      <c r="R14" s="7">
        <f>$B14 * IFERROR(VLOOKUP("LULUCF|NOx|Minor restricted activity days", US_national_yearly!$D:$AM, 26, FALSE) / VLOOKUP("LULUCF|NOx|Minor restricted activity days", US_national_yearly!$D:$AM, 10, FALSE), 1)</f>
        <v>3.7600655904173344E-2</v>
      </c>
      <c r="S14" s="7">
        <f>$B14 * IFERROR(VLOOKUP("LULUCF|NOx|Minor restricted activity days", US_national_yearly!$D:$AM, 27, FALSE) / VLOOKUP("LULUCF|NOx|Minor restricted activity days", US_national_yearly!$D:$AM, 10, FALSE), 1)</f>
        <v>3.7871155477497725E-2</v>
      </c>
      <c r="T14" s="7">
        <f>$B14 * IFERROR(VLOOKUP("LULUCF|NOx|Minor restricted activity days", US_national_yearly!$D:$AM, 28, FALSE) / VLOOKUP("LULUCF|NOx|Minor restricted activity days", US_national_yearly!$D:$AM, 10, FALSE), 1)</f>
        <v>3.8141655050822093E-2</v>
      </c>
      <c r="U14" s="7">
        <f>$B14 * IFERROR(VLOOKUP("LULUCF|NOx|Minor restricted activity days", US_national_yearly!$D:$AM, 29, FALSE) / VLOOKUP("LULUCF|NOx|Minor restricted activity days", US_national_yearly!$D:$AM, 10, FALSE), 1)</f>
        <v>3.8412154624146475E-2</v>
      </c>
      <c r="V14" s="7">
        <f>$B14 * IFERROR(VLOOKUP("LULUCF|NOx|Minor restricted activity days", US_national_yearly!$D:$AM, 30, FALSE) / VLOOKUP("LULUCF|NOx|Minor restricted activity days", US_national_yearly!$D:$AM, 10, FALSE), 1)</f>
        <v>3.8682654197470849E-2</v>
      </c>
      <c r="W14" s="7">
        <f>$B14 * IFERROR(VLOOKUP("LULUCF|NOx|Minor restricted activity days", US_national_yearly!$D:$AM, 31, FALSE) / VLOOKUP("LULUCF|NOx|Minor restricted activity days", US_national_yearly!$D:$AM, 10, FALSE), 1)</f>
        <v>3.8953153770795224E-2</v>
      </c>
      <c r="X14" s="7">
        <f>$B14 * IFERROR(VLOOKUP("LULUCF|NOx|Minor restricted activity days", US_national_yearly!$D:$AM, 32, FALSE) / VLOOKUP("LULUCF|NOx|Minor restricted activity days", US_national_yearly!$D:$AM, 10, FALSE), 1)</f>
        <v>3.9181850855135258E-2</v>
      </c>
      <c r="Y14" s="7">
        <f>$B14 * IFERROR(VLOOKUP("LULUCF|NOx|Minor restricted activity days", US_national_yearly!$D:$AM, 33, FALSE) / VLOOKUP("LULUCF|NOx|Minor restricted activity days", US_national_yearly!$D:$AM, 10, FALSE), 1)</f>
        <v>3.9410547939475293E-2</v>
      </c>
      <c r="Z14" s="7">
        <f>$B14 * IFERROR(VLOOKUP("LULUCF|NOx|Minor restricted activity days", US_national_yearly!$D:$AM, 34, FALSE) / VLOOKUP("LULUCF|NOx|Minor restricted activity days", US_national_yearly!$D:$AM, 10, FALSE), 1)</f>
        <v>3.9639245023815328E-2</v>
      </c>
      <c r="AA14" s="7">
        <f>$B14 * IFERROR(VLOOKUP("LULUCF|NOx|Minor restricted activity days", US_national_yearly!$D:$AM, 35, FALSE) / VLOOKUP("LULUCF|NOx|Minor restricted activity days", US_national_yearly!$D:$AM, 10, FALSE), 1)</f>
        <v>3.9867942108155363E-2</v>
      </c>
      <c r="AB14" s="7">
        <f>$B14 * IFERROR(VLOOKUP("LULUCF|NOx|Minor restricted activity days", US_national_yearly!$D:$AM, 36, FALSE) / VLOOKUP("LULUCF|NOx|Minor restricted activity days", US_national_yearly!$D:$AM, 10, FALSE), 1)</f>
        <v>4.0096639192495398E-2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5.9790613720046544E-3</v>
      </c>
      <c r="C15" s="7">
        <f>$B15 * IFERROR(VLOOKUP("LULUCF|NOx|Work loss days", US_national_yearly!$D:$AM, 11, FALSE) / VLOOKUP("LULUCF|NOx|Work loss days", US_national_yearly!$D:$AM, 10, FALSE), 1)</f>
        <v>5.9923614723734952E-3</v>
      </c>
      <c r="D15" s="7">
        <f>$B15 * IFERROR(VLOOKUP("LULUCF|NOx|Work loss days", US_national_yearly!$D:$AM, 12, FALSE) / VLOOKUP("LULUCF|NOx|Work loss days", US_national_yearly!$D:$AM, 10, FALSE), 1)</f>
        <v>6.0056615727423377E-3</v>
      </c>
      <c r="E15" s="7">
        <f>$B15 * IFERROR(VLOOKUP("LULUCF|NOx|Work loss days", US_national_yearly!$D:$AM, 13, FALSE) / VLOOKUP("LULUCF|NOx|Work loss days", US_national_yearly!$D:$AM, 10, FALSE), 1)</f>
        <v>6.0189616731111785E-3</v>
      </c>
      <c r="F15" s="7">
        <f>$B15 * IFERROR(VLOOKUP("LULUCF|NOx|Work loss days", US_national_yearly!$D:$AM, 14, FALSE) / VLOOKUP("LULUCF|NOx|Work loss days", US_national_yearly!$D:$AM, 10, FALSE), 1)</f>
        <v>6.0322617734800202E-3</v>
      </c>
      <c r="G15" s="7">
        <f>$B15 * IFERROR(VLOOKUP("LULUCF|NOx|Work loss days", US_national_yearly!$D:$AM, 15, FALSE) / VLOOKUP("LULUCF|NOx|Work loss days", US_national_yearly!$D:$AM, 10, FALSE), 1)</f>
        <v>6.0516800334742896E-3</v>
      </c>
      <c r="H15" s="7">
        <f>$B15 * IFERROR(VLOOKUP("LULUCF|NOx|Work loss days", US_national_yearly!$D:$AM, 16, FALSE) / VLOOKUP("LULUCF|NOx|Work loss days", US_national_yearly!$D:$AM, 10, FALSE), 1)</f>
        <v>6.0710982934685607E-3</v>
      </c>
      <c r="I15" s="7">
        <f>$B15 * IFERROR(VLOOKUP("LULUCF|NOx|Work loss days", US_national_yearly!$D:$AM, 17, FALSE) / VLOOKUP("LULUCF|NOx|Work loss days", US_national_yearly!$D:$AM, 10, FALSE), 1)</f>
        <v>6.1025548222630515E-3</v>
      </c>
      <c r="J15" s="7">
        <f>$B15 * IFERROR(VLOOKUP("LULUCF|NOx|Work loss days", US_national_yearly!$D:$AM, 18, FALSE) / VLOOKUP("LULUCF|NOx|Work loss days", US_national_yearly!$D:$AM, 10, FALSE), 1)</f>
        <v>6.1340113510575433E-3</v>
      </c>
      <c r="K15" s="7">
        <f>$B15 * IFERROR(VLOOKUP("LULUCF|NOx|Work loss days", US_national_yearly!$D:$AM, 19, FALSE) / VLOOKUP("LULUCF|NOx|Work loss days", US_national_yearly!$D:$AM, 10, FALSE), 1)</f>
        <v>6.1654678798520332E-3</v>
      </c>
      <c r="L15" s="7">
        <f>$B15 * IFERROR(VLOOKUP("LULUCF|NOx|Work loss days", US_national_yearly!$D:$AM, 20, FALSE) / VLOOKUP("LULUCF|NOx|Work loss days", US_national_yearly!$D:$AM, 10, FALSE), 1)</f>
        <v>6.1969244086465241E-3</v>
      </c>
      <c r="M15" s="7">
        <f>$B15 * IFERROR(VLOOKUP("LULUCF|NOx|Work loss days", US_national_yearly!$D:$AM, 21, FALSE) / VLOOKUP("LULUCF|NOx|Work loss days", US_national_yearly!$D:$AM, 10, FALSE), 1)</f>
        <v>6.2283809374410158E-3</v>
      </c>
      <c r="N15" s="7">
        <f>$B15 * IFERROR(VLOOKUP("LULUCF|NOx|Work loss days", US_national_yearly!$D:$AM, 22, FALSE) / VLOOKUP("LULUCF|NOx|Work loss days", US_national_yearly!$D:$AM, 10, FALSE), 1)</f>
        <v>6.2693196794084589E-3</v>
      </c>
      <c r="O15" s="7">
        <f>$B15 * IFERROR(VLOOKUP("LULUCF|NOx|Work loss days", US_national_yearly!$D:$AM, 23, FALSE) / VLOOKUP("LULUCF|NOx|Work loss days", US_national_yearly!$D:$AM, 10, FALSE), 1)</f>
        <v>6.3102584213759021E-3</v>
      </c>
      <c r="P15" s="7">
        <f>$B15 * IFERROR(VLOOKUP("LULUCF|NOx|Work loss days", US_national_yearly!$D:$AM, 24, FALSE) / VLOOKUP("LULUCF|NOx|Work loss days", US_national_yearly!$D:$AM, 10, FALSE), 1)</f>
        <v>6.3511971633433452E-3</v>
      </c>
      <c r="Q15" s="7">
        <f>$B15 * IFERROR(VLOOKUP("LULUCF|NOx|Work loss days", US_national_yearly!$D:$AM, 25, FALSE) / VLOOKUP("LULUCF|NOx|Work loss days", US_national_yearly!$D:$AM, 10, FALSE), 1)</f>
        <v>6.3921359053107866E-3</v>
      </c>
      <c r="R15" s="7">
        <f>$B15 * IFERROR(VLOOKUP("LULUCF|NOx|Work loss days", US_national_yearly!$D:$AM, 26, FALSE) / VLOOKUP("LULUCF|NOx|Work loss days", US_national_yearly!$D:$AM, 10, FALSE), 1)</f>
        <v>6.4330746472782314E-3</v>
      </c>
      <c r="S15" s="7">
        <f>$B15 * IFERROR(VLOOKUP("LULUCF|NOx|Work loss days", US_national_yearly!$D:$AM, 27, FALSE) / VLOOKUP("LULUCF|NOx|Work loss days", US_national_yearly!$D:$AM, 10, FALSE), 1)</f>
        <v>6.4787161100623132E-3</v>
      </c>
      <c r="T15" s="7">
        <f>$B15 * IFERROR(VLOOKUP("LULUCF|NOx|Work loss days", US_national_yearly!$D:$AM, 28, FALSE) / VLOOKUP("LULUCF|NOx|Work loss days", US_national_yearly!$D:$AM, 10, FALSE), 1)</f>
        <v>6.524357572846395E-3</v>
      </c>
      <c r="U15" s="7">
        <f>$B15 * IFERROR(VLOOKUP("LULUCF|NOx|Work loss days", US_national_yearly!$D:$AM, 29, FALSE) / VLOOKUP("LULUCF|NOx|Work loss days", US_national_yearly!$D:$AM, 10, FALSE), 1)</f>
        <v>6.569999035630476E-3</v>
      </c>
      <c r="V15" s="7">
        <f>$B15 * IFERROR(VLOOKUP("LULUCF|NOx|Work loss days", US_national_yearly!$D:$AM, 30, FALSE) / VLOOKUP("LULUCF|NOx|Work loss days", US_national_yearly!$D:$AM, 10, FALSE), 1)</f>
        <v>6.6156404984145578E-3</v>
      </c>
      <c r="W15" s="7">
        <f>$B15 * IFERROR(VLOOKUP("LULUCF|NOx|Work loss days", US_national_yearly!$D:$AM, 31, FALSE) / VLOOKUP("LULUCF|NOx|Work loss days", US_national_yearly!$D:$AM, 10, FALSE), 1)</f>
        <v>6.6612819611986396E-3</v>
      </c>
      <c r="X15" s="7">
        <f>$B15 * IFERROR(VLOOKUP("LULUCF|NOx|Work loss days", US_national_yearly!$D:$AM, 32, FALSE) / VLOOKUP("LULUCF|NOx|Work loss days", US_national_yearly!$D:$AM, 10, FALSE), 1)</f>
        <v>6.7008963174411918E-3</v>
      </c>
      <c r="Y15" s="7">
        <f>$B15 * IFERROR(VLOOKUP("LULUCF|NOx|Work loss days", US_national_yearly!$D:$AM, 33, FALSE) / VLOOKUP("LULUCF|NOx|Work loss days", US_national_yearly!$D:$AM, 10, FALSE), 1)</f>
        <v>6.7405106736837441E-3</v>
      </c>
      <c r="Z15" s="7">
        <f>$B15 * IFERROR(VLOOKUP("LULUCF|NOx|Work loss days", US_national_yearly!$D:$AM, 34, FALSE) / VLOOKUP("LULUCF|NOx|Work loss days", US_national_yearly!$D:$AM, 10, FALSE), 1)</f>
        <v>6.7801250299262964E-3</v>
      </c>
      <c r="AA15" s="7">
        <f>$B15 * IFERROR(VLOOKUP("LULUCF|NOx|Work loss days", US_national_yearly!$D:$AM, 35, FALSE) / VLOOKUP("LULUCF|NOx|Work loss days", US_national_yearly!$D:$AM, 10, FALSE), 1)</f>
        <v>6.8197393861688486E-3</v>
      </c>
      <c r="AB15" s="7">
        <f>$B15 * IFERROR(VLOOKUP("LULUCF|NOx|Work loss days", US_national_yearly!$D:$AM, 36, FALSE) / VLOOKUP("LULUCF|NOx|Work loss days", US_national_yearly!$D:$AM, 10, FALSE), 1)</f>
        <v>6.8593537424114E-3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5.2172323674580593E-6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5.370538819155267E-6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5.5238452708524731E-6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5.67715172254968E-6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5.8304581742468868E-6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5.9760739503663358E-6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6.1216897264857857E-6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6.2441413605791759E-6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6.3665929946725661E-6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6.4890446287659564E-6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6.6114962628593466E-6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6.7339478969527377E-6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6.8105209611600032E-6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6.8870940253672704E-6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6.9636670895745368E-6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7.040240153781804E-6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7.1168132179890695E-6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7.1517514044536939E-6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7.1866895909183183E-6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7.2216277773829409E-6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7.2565659638475653E-6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7.2915041503121888E-6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7.3109484623732201E-6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7.3303927744342513E-6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7.3498370864952834E-6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7.3692813985563147E-6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7.388725710617346E-6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7.2004502372863358E-5</v>
      </c>
      <c r="C2" s="7">
        <f>$B2 * IFERROR(VLOOKUP("LULUCF|SO2|Premature mortality", US_national_yearly!$D:$AM, 11, FALSE) / VLOOKUP("LULUCF|SO2|Premature mortality", US_national_yearly!$D:$AM, 10, FALSE), 1)</f>
        <v>7.2916400436340571E-5</v>
      </c>
      <c r="D2" s="7">
        <f>$B2 * IFERROR(VLOOKUP("LULUCF|SO2|Premature mortality", US_national_yearly!$D:$AM, 12, FALSE) / VLOOKUP("LULUCF|SO2|Premature mortality", US_national_yearly!$D:$AM, 10, FALSE), 1)</f>
        <v>7.3828298499817812E-5</v>
      </c>
      <c r="E2" s="7">
        <f>$B2 * IFERROR(VLOOKUP("LULUCF|SO2|Premature mortality", US_national_yearly!$D:$AM, 13, FALSE) / VLOOKUP("LULUCF|SO2|Premature mortality", US_national_yearly!$D:$AM, 10, FALSE), 1)</f>
        <v>7.4740196563295025E-5</v>
      </c>
      <c r="F2" s="7">
        <f>$B2 * IFERROR(VLOOKUP("LULUCF|SO2|Premature mortality", US_national_yearly!$D:$AM, 14, FALSE) / VLOOKUP("LULUCF|SO2|Premature mortality", US_national_yearly!$D:$AM, 10, FALSE), 1)</f>
        <v>7.5652094626772238E-5</v>
      </c>
      <c r="G2" s="7">
        <f>$B2 * IFERROR(VLOOKUP("LULUCF|SO2|Premature mortality", US_national_yearly!$D:$AM, 15, FALSE) / VLOOKUP("LULUCF|SO2|Premature mortality", US_national_yearly!$D:$AM, 10, FALSE), 1)</f>
        <v>7.7409270514317181E-5</v>
      </c>
      <c r="H2" s="7">
        <f>$B2 * IFERROR(VLOOKUP("LULUCF|SO2|Premature mortality", US_national_yearly!$D:$AM, 16, FALSE) / VLOOKUP("LULUCF|SO2|Premature mortality", US_national_yearly!$D:$AM, 10, FALSE), 1)</f>
        <v>7.9166446401862111E-5</v>
      </c>
      <c r="I2" s="7">
        <f>$B2 * IFERROR(VLOOKUP("LULUCF|SO2|Premature mortality", US_national_yearly!$D:$AM, 17, FALSE) / VLOOKUP("LULUCF|SO2|Premature mortality", US_national_yearly!$D:$AM, 10, FALSE), 1)</f>
        <v>8.0327695897581278E-5</v>
      </c>
      <c r="J2" s="7">
        <f>$B2 * IFERROR(VLOOKUP("LULUCF|SO2|Premature mortality", US_national_yearly!$D:$AM, 18, FALSE) / VLOOKUP("LULUCF|SO2|Premature mortality", US_national_yearly!$D:$AM, 10, FALSE), 1)</f>
        <v>8.1488945393300445E-5</v>
      </c>
      <c r="K2" s="7">
        <f>$B2 * IFERROR(VLOOKUP("LULUCF|SO2|Premature mortality", US_national_yearly!$D:$AM, 19, FALSE) / VLOOKUP("LULUCF|SO2|Premature mortality", US_national_yearly!$D:$AM, 10, FALSE), 1)</f>
        <v>8.2650194889019585E-5</v>
      </c>
      <c r="L2" s="7">
        <f>$B2 * IFERROR(VLOOKUP("LULUCF|SO2|Premature mortality", US_national_yearly!$D:$AM, 20, FALSE) / VLOOKUP("LULUCF|SO2|Premature mortality", US_national_yearly!$D:$AM, 10, FALSE), 1)</f>
        <v>8.3811444384738752E-5</v>
      </c>
      <c r="M2" s="7">
        <f>$B2 * IFERROR(VLOOKUP("LULUCF|SO2|Premature mortality", US_national_yearly!$D:$AM, 21, FALSE) / VLOOKUP("LULUCF|SO2|Premature mortality", US_national_yearly!$D:$AM, 10, FALSE), 1)</f>
        <v>8.4972693880457919E-5</v>
      </c>
      <c r="N2" s="7">
        <f>$B2 * IFERROR(VLOOKUP("LULUCF|SO2|Premature mortality", US_national_yearly!$D:$AM, 22, FALSE) / VLOOKUP("LULUCF|SO2|Premature mortality", US_national_yearly!$D:$AM, 10, FALSE), 1)</f>
        <v>8.5880031247073814E-5</v>
      </c>
      <c r="O2" s="7">
        <f>$B2 * IFERROR(VLOOKUP("LULUCF|SO2|Premature mortality", US_national_yearly!$D:$AM, 23, FALSE) / VLOOKUP("LULUCF|SO2|Premature mortality", US_national_yearly!$D:$AM, 10, FALSE), 1)</f>
        <v>8.6787368613689723E-5</v>
      </c>
      <c r="P2" s="7">
        <f>$B2 * IFERROR(VLOOKUP("LULUCF|SO2|Premature mortality", US_national_yearly!$D:$AM, 24, FALSE) / VLOOKUP("LULUCF|SO2|Premature mortality", US_national_yearly!$D:$AM, 10, FALSE), 1)</f>
        <v>8.7694705980305619E-5</v>
      </c>
      <c r="Q2" s="7">
        <f>$B2 * IFERROR(VLOOKUP("LULUCF|SO2|Premature mortality", US_national_yearly!$D:$AM, 25, FALSE) / VLOOKUP("LULUCF|SO2|Premature mortality", US_national_yearly!$D:$AM, 10, FALSE), 1)</f>
        <v>8.8602043346921514E-5</v>
      </c>
      <c r="R2" s="7">
        <f>$B2 * IFERROR(VLOOKUP("LULUCF|SO2|Premature mortality", US_national_yearly!$D:$AM, 26, FALSE) / VLOOKUP("LULUCF|SO2|Premature mortality", US_national_yearly!$D:$AM, 10, FALSE), 1)</f>
        <v>8.9509380713537396E-5</v>
      </c>
      <c r="S2" s="7">
        <f>$B2 * IFERROR(VLOOKUP("LULUCF|SO2|Premature mortality", US_national_yearly!$D:$AM, 27, FALSE) / VLOOKUP("LULUCF|SO2|Premature mortality", US_national_yearly!$D:$AM, 10, FALSE), 1)</f>
        <v>8.9995271954738034E-5</v>
      </c>
      <c r="T2" s="7">
        <f>$B2 * IFERROR(VLOOKUP("LULUCF|SO2|Premature mortality", US_national_yearly!$D:$AM, 28, FALSE) / VLOOKUP("LULUCF|SO2|Premature mortality", US_national_yearly!$D:$AM, 10, FALSE), 1)</f>
        <v>9.0481163195938659E-5</v>
      </c>
      <c r="U2" s="7">
        <f>$B2 * IFERROR(VLOOKUP("LULUCF|SO2|Premature mortality", US_national_yearly!$D:$AM, 29, FALSE) / VLOOKUP("LULUCF|SO2|Premature mortality", US_national_yearly!$D:$AM, 10, FALSE), 1)</f>
        <v>9.0967054437139284E-5</v>
      </c>
      <c r="V2" s="7">
        <f>$B2 * IFERROR(VLOOKUP("LULUCF|SO2|Premature mortality", US_national_yearly!$D:$AM, 30, FALSE) / VLOOKUP("LULUCF|SO2|Premature mortality", US_national_yearly!$D:$AM, 10, FALSE), 1)</f>
        <v>9.1452945678339908E-5</v>
      </c>
      <c r="W2" s="7">
        <f>$B2 * IFERROR(VLOOKUP("LULUCF|SO2|Premature mortality", US_national_yearly!$D:$AM, 31, FALSE) / VLOOKUP("LULUCF|SO2|Premature mortality", US_national_yearly!$D:$AM, 10, FALSE), 1)</f>
        <v>9.1938836919540546E-5</v>
      </c>
      <c r="X2" s="7">
        <f>$B2 * IFERROR(VLOOKUP("LULUCF|SO2|Premature mortality", US_national_yearly!$D:$AM, 32, FALSE) / VLOOKUP("LULUCF|SO2|Premature mortality", US_national_yearly!$D:$AM, 10, FALSE), 1)</f>
        <v>9.2037547211419989E-5</v>
      </c>
      <c r="Y2" s="7">
        <f>$B2 * IFERROR(VLOOKUP("LULUCF|SO2|Premature mortality", US_national_yearly!$D:$AM, 33, FALSE) / VLOOKUP("LULUCF|SO2|Premature mortality", US_national_yearly!$D:$AM, 10, FALSE), 1)</f>
        <v>9.2136257503299445E-5</v>
      </c>
      <c r="Z2" s="7">
        <f>$B2 * IFERROR(VLOOKUP("LULUCF|SO2|Premature mortality", US_national_yearly!$D:$AM, 34, FALSE) / VLOOKUP("LULUCF|SO2|Premature mortality", US_national_yearly!$D:$AM, 10, FALSE), 1)</f>
        <v>9.2234967795178902E-5</v>
      </c>
      <c r="AA2" s="7">
        <f>$B2 * IFERROR(VLOOKUP("LULUCF|SO2|Premature mortality", US_national_yearly!$D:$AM, 35, FALSE) / VLOOKUP("LULUCF|SO2|Premature mortality", US_national_yearly!$D:$AM, 10, FALSE), 1)</f>
        <v>9.2333678087058358E-5</v>
      </c>
      <c r="AB2" s="7">
        <f>$B2 * IFERROR(VLOOKUP("LULUCF|SO2|Premature mortality", US_national_yearly!$D:$AM, 36, FALSE) / VLOOKUP("LULUCF|SO2|Premature mortality", US_national_yearly!$D:$AM, 10, FALSE), 1)</f>
        <v>9.2432388378937801E-5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3.3246462382725191E-7</v>
      </c>
      <c r="C3" s="7">
        <f>$B3 * IFERROR(VLOOKUP("LULUCF|SO2|Infant mortality", US_national_yearly!$D:$AM, 11, FALSE) / VLOOKUP("LULUCF|SO2|Infant mortality", US_national_yearly!$D:$AM, 10, FALSE), 1)</f>
        <v>3.2960869206517629E-7</v>
      </c>
      <c r="D3" s="7">
        <f>$B3 * IFERROR(VLOOKUP("LULUCF|SO2|Infant mortality", US_national_yearly!$D:$AM, 12, FALSE) / VLOOKUP("LULUCF|SO2|Infant mortality", US_national_yearly!$D:$AM, 10, FALSE), 1)</f>
        <v>3.2675276030310067E-7</v>
      </c>
      <c r="E3" s="7">
        <f>$B3 * IFERROR(VLOOKUP("LULUCF|SO2|Infant mortality", US_national_yearly!$D:$AM, 13, FALSE) / VLOOKUP("LULUCF|SO2|Infant mortality", US_national_yearly!$D:$AM, 10, FALSE), 1)</f>
        <v>3.23896828541025E-7</v>
      </c>
      <c r="F3" s="7">
        <f>$B3 * IFERROR(VLOOKUP("LULUCF|SO2|Infant mortality", US_national_yearly!$D:$AM, 14, FALSE) / VLOOKUP("LULUCF|SO2|Infant mortality", US_national_yearly!$D:$AM, 10, FALSE), 1)</f>
        <v>3.2104089677894943E-7</v>
      </c>
      <c r="G3" s="7">
        <f>$B3 * IFERROR(VLOOKUP("LULUCF|SO2|Infant mortality", US_national_yearly!$D:$AM, 15, FALSE) / VLOOKUP("LULUCF|SO2|Infant mortality", US_national_yearly!$D:$AM, 10, FALSE), 1)</f>
        <v>2.1383909439607333E-7</v>
      </c>
      <c r="H3" s="7">
        <f>$B3 * IFERROR(VLOOKUP("LULUCF|SO2|Infant mortality", US_national_yearly!$D:$AM, 16, FALSE) / VLOOKUP("LULUCF|SO2|Infant mortality", US_national_yearly!$D:$AM, 10, FALSE), 1)</f>
        <v>1.0663729201319741E-7</v>
      </c>
      <c r="I3" s="7">
        <f>$B3 * IFERROR(VLOOKUP("LULUCF|SO2|Infant mortality", US_national_yearly!$D:$AM, 17, FALSE) / VLOOKUP("LULUCF|SO2|Infant mortality", US_national_yearly!$D:$AM, 10, FALSE), 1)</f>
        <v>1.0596832407870119E-7</v>
      </c>
      <c r="J3" s="7">
        <f>$B3 * IFERROR(VLOOKUP("LULUCF|SO2|Infant mortality", US_national_yearly!$D:$AM, 18, FALSE) / VLOOKUP("LULUCF|SO2|Infant mortality", US_national_yearly!$D:$AM, 10, FALSE), 1)</f>
        <v>1.0529935614420497E-7</v>
      </c>
      <c r="K3" s="7">
        <f>$B3 * IFERROR(VLOOKUP("LULUCF|SO2|Infant mortality", US_national_yearly!$D:$AM, 19, FALSE) / VLOOKUP("LULUCF|SO2|Infant mortality", US_national_yearly!$D:$AM, 10, FALSE), 1)</f>
        <v>1.0463038820970874E-7</v>
      </c>
      <c r="L3" s="7">
        <f>$B3 * IFERROR(VLOOKUP("LULUCF|SO2|Infant mortality", US_national_yearly!$D:$AM, 20, FALSE) / VLOOKUP("LULUCF|SO2|Infant mortality", US_national_yearly!$D:$AM, 10, FALSE), 1)</f>
        <v>1.0396142027521255E-7</v>
      </c>
      <c r="M3" s="7">
        <f>$B3 * IFERROR(VLOOKUP("LULUCF|SO2|Infant mortality", US_national_yearly!$D:$AM, 21, FALSE) / VLOOKUP("LULUCF|SO2|Infant mortality", US_national_yearly!$D:$AM, 10, FALSE), 1)</f>
        <v>1.0329245234071632E-7</v>
      </c>
      <c r="N3" s="7">
        <f>$B3 * IFERROR(VLOOKUP("LULUCF|SO2|Infant mortality", US_national_yearly!$D:$AM, 22, FALSE) / VLOOKUP("LULUCF|SO2|Infant mortality", US_national_yearly!$D:$AM, 10, FALSE), 1)</f>
        <v>1.0287254617657E-7</v>
      </c>
      <c r="O3" s="7">
        <f>$B3 * IFERROR(VLOOKUP("LULUCF|SO2|Infant mortality", US_national_yearly!$D:$AM, 23, FALSE) / VLOOKUP("LULUCF|SO2|Infant mortality", US_national_yearly!$D:$AM, 10, FALSE), 1)</f>
        <v>1.024526400124237E-7</v>
      </c>
      <c r="P3" s="7">
        <f>$B3 * IFERROR(VLOOKUP("LULUCF|SO2|Infant mortality", US_national_yearly!$D:$AM, 24, FALSE) / VLOOKUP("LULUCF|SO2|Infant mortality", US_national_yearly!$D:$AM, 10, FALSE), 1)</f>
        <v>1.0203273384827738E-7</v>
      </c>
      <c r="Q3" s="7">
        <f>$B3 * IFERROR(VLOOKUP("LULUCF|SO2|Infant mortality", US_national_yearly!$D:$AM, 25, FALSE) / VLOOKUP("LULUCF|SO2|Infant mortality", US_national_yearly!$D:$AM, 10, FALSE), 1)</f>
        <v>1.0161282768413106E-7</v>
      </c>
      <c r="R3" s="7">
        <f>$B3 * IFERROR(VLOOKUP("LULUCF|SO2|Infant mortality", US_national_yearly!$D:$AM, 26, FALSE) / VLOOKUP("LULUCF|SO2|Infant mortality", US_national_yearly!$D:$AM, 10, FALSE), 1)</f>
        <v>1.0119292151998474E-7</v>
      </c>
      <c r="S3" s="7">
        <f>$B3 * IFERROR(VLOOKUP("LULUCF|SO2|Infant mortality", US_national_yearly!$D:$AM, 27, FALSE) / VLOOKUP("LULUCF|SO2|Infant mortality", US_national_yearly!$D:$AM, 10, FALSE), 1)</f>
        <v>1.0066570374966793E-7</v>
      </c>
      <c r="T3" s="7">
        <f>$B3 * IFERROR(VLOOKUP("LULUCF|SO2|Infant mortality", US_national_yearly!$D:$AM, 28, FALSE) / VLOOKUP("LULUCF|SO2|Infant mortality", US_national_yearly!$D:$AM, 10, FALSE), 1)</f>
        <v>1.0013848597935113E-7</v>
      </c>
      <c r="U3" s="7">
        <f>$B3 * IFERROR(VLOOKUP("LULUCF|SO2|Infant mortality", US_national_yearly!$D:$AM, 29, FALSE) / VLOOKUP("LULUCF|SO2|Infant mortality", US_national_yearly!$D:$AM, 10, FALSE), 1)</f>
        <v>9.9611268209034295E-8</v>
      </c>
      <c r="V3" s="7">
        <f>$B3 * IFERROR(VLOOKUP("LULUCF|SO2|Infant mortality", US_national_yearly!$D:$AM, 30, FALSE) / VLOOKUP("LULUCF|SO2|Infant mortality", US_national_yearly!$D:$AM, 10, FALSE), 1)</f>
        <v>9.9084050438717511E-8</v>
      </c>
      <c r="W3" s="7">
        <f>$B3 * IFERROR(VLOOKUP("LULUCF|SO2|Infant mortality", US_national_yearly!$D:$AM, 31, FALSE) / VLOOKUP("LULUCF|SO2|Infant mortality", US_national_yearly!$D:$AM, 10, FALSE), 1)</f>
        <v>9.8556832668400686E-8</v>
      </c>
      <c r="X3" s="7">
        <f>$B3 * IFERROR(VLOOKUP("LULUCF|SO2|Infant mortality", US_national_yearly!$D:$AM, 32, FALSE) / VLOOKUP("LULUCF|SO2|Infant mortality", US_national_yearly!$D:$AM, 10, FALSE), 1)</f>
        <v>9.7980420908042966E-8</v>
      </c>
      <c r="Y3" s="7">
        <f>$B3 * IFERROR(VLOOKUP("LULUCF|SO2|Infant mortality", US_national_yearly!$D:$AM, 33, FALSE) / VLOOKUP("LULUCF|SO2|Infant mortality", US_national_yearly!$D:$AM, 10, FALSE), 1)</f>
        <v>9.740400914768522E-8</v>
      </c>
      <c r="Z3" s="7">
        <f>$B3 * IFERROR(VLOOKUP("LULUCF|SO2|Infant mortality", US_national_yearly!$D:$AM, 34, FALSE) / VLOOKUP("LULUCF|SO2|Infant mortality", US_national_yearly!$D:$AM, 10, FALSE), 1)</f>
        <v>9.68275973873275E-8</v>
      </c>
      <c r="AA3" s="7">
        <f>$B3 * IFERROR(VLOOKUP("LULUCF|SO2|Infant mortality", US_national_yearly!$D:$AM, 35, FALSE) / VLOOKUP("LULUCF|SO2|Infant mortality", US_national_yearly!$D:$AM, 10, FALSE), 1)</f>
        <v>9.625118562696974E-8</v>
      </c>
      <c r="AB3" s="7">
        <f>$B3 * IFERROR(VLOOKUP("LULUCF|SO2|Infant mortality", US_national_yearly!$D:$AM, 36, FALSE) / VLOOKUP("LULUCF|SO2|Infant mortality", US_national_yearly!$D:$AM, 10, FALSE), 1)</f>
        <v>9.5674773866612033E-8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3.6166918583950645E-4</v>
      </c>
      <c r="C6" s="7">
        <f>$B6 * IFERROR(VLOOKUP("LULUCF|SO2|Asthma symptoms cough", US_national_yearly!$D:$AM, 11, FALSE) / VLOOKUP("LULUCF|SO2|Asthma symptoms cough", US_national_yearly!$D:$AM, 10, FALSE), 1)</f>
        <v>3.6166918583950645E-4</v>
      </c>
      <c r="D6" s="7">
        <f>$B6 * IFERROR(VLOOKUP("LULUCF|SO2|Asthma symptoms cough", US_national_yearly!$D:$AM, 12, FALSE) / VLOOKUP("LULUCF|SO2|Asthma symptoms cough", US_national_yearly!$D:$AM, 10, FALSE), 1)</f>
        <v>3.6166918583950645E-4</v>
      </c>
      <c r="E6" s="7">
        <f>$B6 * IFERROR(VLOOKUP("LULUCF|SO2|Asthma symptoms cough", US_national_yearly!$D:$AM, 13, FALSE) / VLOOKUP("LULUCF|SO2|Asthma symptoms cough", US_national_yearly!$D:$AM, 10, FALSE), 1)</f>
        <v>3.6166918583950645E-4</v>
      </c>
      <c r="F6" s="7">
        <f>$B6 * IFERROR(VLOOKUP("LULUCF|SO2|Asthma symptoms cough", US_national_yearly!$D:$AM, 14, FALSE) / VLOOKUP("LULUCF|SO2|Asthma symptoms cough", US_national_yearly!$D:$AM, 10, FALSE), 1)</f>
        <v>3.6166918583950645E-4</v>
      </c>
      <c r="G6" s="7">
        <f>$B6 * IFERROR(VLOOKUP("LULUCF|SO2|Asthma symptoms cough", US_national_yearly!$D:$AM, 15, FALSE) / VLOOKUP("LULUCF|SO2|Asthma symptoms cough", US_national_yearly!$D:$AM, 10, FALSE), 1)</f>
        <v>3.6166918583950645E-4</v>
      </c>
      <c r="H6" s="7">
        <f>$B6 * IFERROR(VLOOKUP("LULUCF|SO2|Asthma symptoms cough", US_national_yearly!$D:$AM, 16, FALSE) / VLOOKUP("LULUCF|SO2|Asthma symptoms cough", US_national_yearly!$D:$AM, 10, FALSE), 1)</f>
        <v>3.6166918583950645E-4</v>
      </c>
      <c r="I6" s="7">
        <f>$B6 * IFERROR(VLOOKUP("LULUCF|SO2|Asthma symptoms cough", US_national_yearly!$D:$AM, 17, FALSE) / VLOOKUP("LULUCF|SO2|Asthma symptoms cough", US_national_yearly!$D:$AM, 10, FALSE), 1)</f>
        <v>3.6166918583950645E-4</v>
      </c>
      <c r="J6" s="7">
        <f>$B6 * IFERROR(VLOOKUP("LULUCF|SO2|Asthma symptoms cough", US_national_yearly!$D:$AM, 18, FALSE) / VLOOKUP("LULUCF|SO2|Asthma symptoms cough", US_national_yearly!$D:$AM, 10, FALSE), 1)</f>
        <v>3.6166918583950645E-4</v>
      </c>
      <c r="K6" s="7">
        <f>$B6 * IFERROR(VLOOKUP("LULUCF|SO2|Asthma symptoms cough", US_national_yearly!$D:$AM, 19, FALSE) / VLOOKUP("LULUCF|SO2|Asthma symptoms cough", US_national_yearly!$D:$AM, 10, FALSE), 1)</f>
        <v>3.6166918583950645E-4</v>
      </c>
      <c r="L6" s="7">
        <f>$B6 * IFERROR(VLOOKUP("LULUCF|SO2|Asthma symptoms cough", US_national_yearly!$D:$AM, 20, FALSE) / VLOOKUP("LULUCF|SO2|Asthma symptoms cough", US_national_yearly!$D:$AM, 10, FALSE), 1)</f>
        <v>3.6166918583950645E-4</v>
      </c>
      <c r="M6" s="7">
        <f>$B6 * IFERROR(VLOOKUP("LULUCF|SO2|Asthma symptoms cough", US_national_yearly!$D:$AM, 21, FALSE) / VLOOKUP("LULUCF|SO2|Asthma symptoms cough", US_national_yearly!$D:$AM, 10, FALSE), 1)</f>
        <v>3.6166918583950645E-4</v>
      </c>
      <c r="N6" s="7">
        <f>$B6 * IFERROR(VLOOKUP("LULUCF|SO2|Asthma symptoms cough", US_national_yearly!$D:$AM, 22, FALSE) / VLOOKUP("LULUCF|SO2|Asthma symptoms cough", US_national_yearly!$D:$AM, 10, FALSE), 1)</f>
        <v>3.6166918583950645E-4</v>
      </c>
      <c r="O6" s="7">
        <f>$B6 * IFERROR(VLOOKUP("LULUCF|SO2|Asthma symptoms cough", US_national_yearly!$D:$AM, 23, FALSE) / VLOOKUP("LULUCF|SO2|Asthma symptoms cough", US_national_yearly!$D:$AM, 10, FALSE), 1)</f>
        <v>3.6166918583950645E-4</v>
      </c>
      <c r="P6" s="7">
        <f>$B6 * IFERROR(VLOOKUP("LULUCF|SO2|Asthma symptoms cough", US_national_yearly!$D:$AM, 24, FALSE) / VLOOKUP("LULUCF|SO2|Asthma symptoms cough", US_national_yearly!$D:$AM, 10, FALSE), 1)</f>
        <v>3.6166918583950645E-4</v>
      </c>
      <c r="Q6" s="7">
        <f>$B6 * IFERROR(VLOOKUP("LULUCF|SO2|Asthma symptoms cough", US_national_yearly!$D:$AM, 25, FALSE) / VLOOKUP("LULUCF|SO2|Asthma symptoms cough", US_national_yearly!$D:$AM, 10, FALSE), 1)</f>
        <v>3.6166918583950645E-4</v>
      </c>
      <c r="R6" s="7">
        <f>$B6 * IFERROR(VLOOKUP("LULUCF|SO2|Asthma symptoms cough", US_national_yearly!$D:$AM, 26, FALSE) / VLOOKUP("LULUCF|SO2|Asthma symptoms cough", US_national_yearly!$D:$AM, 10, FALSE), 1)</f>
        <v>3.6166918583950645E-4</v>
      </c>
      <c r="S6" s="7">
        <f>$B6 * IFERROR(VLOOKUP("LULUCF|SO2|Asthma symptoms cough", US_national_yearly!$D:$AM, 27, FALSE) / VLOOKUP("LULUCF|SO2|Asthma symptoms cough", US_national_yearly!$D:$AM, 10, FALSE), 1)</f>
        <v>3.6166918583950645E-4</v>
      </c>
      <c r="T6" s="7">
        <f>$B6 * IFERROR(VLOOKUP("LULUCF|SO2|Asthma symptoms cough", US_national_yearly!$D:$AM, 28, FALSE) / VLOOKUP("LULUCF|SO2|Asthma symptoms cough", US_national_yearly!$D:$AM, 10, FALSE), 1)</f>
        <v>3.6166918583950645E-4</v>
      </c>
      <c r="U6" s="7">
        <f>$B6 * IFERROR(VLOOKUP("LULUCF|SO2|Asthma symptoms cough", US_national_yearly!$D:$AM, 29, FALSE) / VLOOKUP("LULUCF|SO2|Asthma symptoms cough", US_national_yearly!$D:$AM, 10, FALSE), 1)</f>
        <v>3.6166918583950645E-4</v>
      </c>
      <c r="V6" s="7">
        <f>$B6 * IFERROR(VLOOKUP("LULUCF|SO2|Asthma symptoms cough", US_national_yearly!$D:$AM, 30, FALSE) / VLOOKUP("LULUCF|SO2|Asthma symptoms cough", US_national_yearly!$D:$AM, 10, FALSE), 1)</f>
        <v>3.6166918583950645E-4</v>
      </c>
      <c r="W6" s="7">
        <f>$B6 * IFERROR(VLOOKUP("LULUCF|SO2|Asthma symptoms cough", US_national_yearly!$D:$AM, 31, FALSE) / VLOOKUP("LULUCF|SO2|Asthma symptoms cough", US_national_yearly!$D:$AM, 10, FALSE), 1)</f>
        <v>3.6166918583950645E-4</v>
      </c>
      <c r="X6" s="7">
        <f>$B6 * IFERROR(VLOOKUP("LULUCF|SO2|Asthma symptoms cough", US_national_yearly!$D:$AM, 32, FALSE) / VLOOKUP("LULUCF|SO2|Asthma symptoms cough", US_national_yearly!$D:$AM, 10, FALSE), 1)</f>
        <v>3.6166918583950645E-4</v>
      </c>
      <c r="Y6" s="7">
        <f>$B6 * IFERROR(VLOOKUP("LULUCF|SO2|Asthma symptoms cough", US_national_yearly!$D:$AM, 33, FALSE) / VLOOKUP("LULUCF|SO2|Asthma symptoms cough", US_national_yearly!$D:$AM, 10, FALSE), 1)</f>
        <v>3.6166918583950645E-4</v>
      </c>
      <c r="Z6" s="7">
        <f>$B6 * IFERROR(VLOOKUP("LULUCF|SO2|Asthma symptoms cough", US_national_yearly!$D:$AM, 34, FALSE) / VLOOKUP("LULUCF|SO2|Asthma symptoms cough", US_national_yearly!$D:$AM, 10, FALSE), 1)</f>
        <v>3.6166918583950645E-4</v>
      </c>
      <c r="AA6" s="7">
        <f>$B6 * IFERROR(VLOOKUP("LULUCF|SO2|Asthma symptoms cough", US_national_yearly!$D:$AM, 35, FALSE) / VLOOKUP("LULUCF|SO2|Asthma symptoms cough", US_national_yearly!$D:$AM, 10, FALSE), 1)</f>
        <v>3.6166918583950645E-4</v>
      </c>
      <c r="AB6" s="7">
        <f>$B6 * IFERROR(VLOOKUP("LULUCF|SO2|Asthma symptoms cough", US_national_yearly!$D:$AM, 36, FALSE) / VLOOKUP("LULUCF|SO2|Asthma symptoms cough", US_national_yearly!$D:$AM, 10, FALSE), 1)</f>
        <v>3.6166918583950645E-4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4.8703946530589661E-4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4.8703946530589661E-4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4.8703946530589661E-4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4.8703946530589661E-4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4.8703946530589661E-4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4.8703946530589661E-4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4.8703946530589661E-4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4.8703946530589661E-4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4.8703946530589661E-4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4.8703946530589661E-4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4.8703946530589661E-4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4.8703946530589661E-4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4.8703946530589661E-4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4.8703946530589661E-4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4.8703946530589661E-4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4.8703946530589661E-4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4.8703946530589661E-4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4.8703946530589661E-4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4.8703946530589661E-4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4.8703946530589661E-4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4.8703946530589661E-4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4.8703946530589661E-4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4.8703946530589661E-4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4.8703946530589661E-4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4.8703946530589661E-4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4.8703946530589661E-4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4.8703946530589661E-4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7.4411580657431282E-4</v>
      </c>
      <c r="C8" s="7">
        <f>$B8 * IFERROR(VLOOKUP("LULUCF|SO2|Asthma symptoms wheeze", US_national_yearly!$D:$AM, 11, FALSE) / VLOOKUP("LULUCF|SO2|Asthma symptoms wheeze", US_national_yearly!$D:$AM, 10, FALSE), 1)</f>
        <v>7.4411580657431282E-4</v>
      </c>
      <c r="D8" s="7">
        <f>$B8 * IFERROR(VLOOKUP("LULUCF|SO2|Asthma symptoms wheeze", US_national_yearly!$D:$AM, 12, FALSE) / VLOOKUP("LULUCF|SO2|Asthma symptoms wheeze", US_national_yearly!$D:$AM, 10, FALSE), 1)</f>
        <v>7.4411580657431282E-4</v>
      </c>
      <c r="E8" s="7">
        <f>$B8 * IFERROR(VLOOKUP("LULUCF|SO2|Asthma symptoms wheeze", US_national_yearly!$D:$AM, 13, FALSE) / VLOOKUP("LULUCF|SO2|Asthma symptoms wheeze", US_national_yearly!$D:$AM, 10, FALSE), 1)</f>
        <v>7.4411580657431282E-4</v>
      </c>
      <c r="F8" s="7">
        <f>$B8 * IFERROR(VLOOKUP("LULUCF|SO2|Asthma symptoms wheeze", US_national_yearly!$D:$AM, 14, FALSE) / VLOOKUP("LULUCF|SO2|Asthma symptoms wheeze", US_national_yearly!$D:$AM, 10, FALSE), 1)</f>
        <v>7.4411580657431282E-4</v>
      </c>
      <c r="G8" s="7">
        <f>$B8 * IFERROR(VLOOKUP("LULUCF|SO2|Asthma symptoms wheeze", US_national_yearly!$D:$AM, 15, FALSE) / VLOOKUP("LULUCF|SO2|Asthma symptoms wheeze", US_national_yearly!$D:$AM, 10, FALSE), 1)</f>
        <v>7.4411580657431282E-4</v>
      </c>
      <c r="H8" s="7">
        <f>$B8 * IFERROR(VLOOKUP("LULUCF|SO2|Asthma symptoms wheeze", US_national_yearly!$D:$AM, 16, FALSE) / VLOOKUP("LULUCF|SO2|Asthma symptoms wheeze", US_national_yearly!$D:$AM, 10, FALSE), 1)</f>
        <v>7.4411580657431282E-4</v>
      </c>
      <c r="I8" s="7">
        <f>$B8 * IFERROR(VLOOKUP("LULUCF|SO2|Asthma symptoms wheeze", US_national_yearly!$D:$AM, 17, FALSE) / VLOOKUP("LULUCF|SO2|Asthma symptoms wheeze", US_national_yearly!$D:$AM, 10, FALSE), 1)</f>
        <v>7.4411580657431282E-4</v>
      </c>
      <c r="J8" s="7">
        <f>$B8 * IFERROR(VLOOKUP("LULUCF|SO2|Asthma symptoms wheeze", US_national_yearly!$D:$AM, 18, FALSE) / VLOOKUP("LULUCF|SO2|Asthma symptoms wheeze", US_national_yearly!$D:$AM, 10, FALSE), 1)</f>
        <v>7.4411580657431282E-4</v>
      </c>
      <c r="K8" s="7">
        <f>$B8 * IFERROR(VLOOKUP("LULUCF|SO2|Asthma symptoms wheeze", US_national_yearly!$D:$AM, 19, FALSE) / VLOOKUP("LULUCF|SO2|Asthma symptoms wheeze", US_national_yearly!$D:$AM, 10, FALSE), 1)</f>
        <v>7.4411580657431282E-4</v>
      </c>
      <c r="L8" s="7">
        <f>$B8 * IFERROR(VLOOKUP("LULUCF|SO2|Asthma symptoms wheeze", US_national_yearly!$D:$AM, 20, FALSE) / VLOOKUP("LULUCF|SO2|Asthma symptoms wheeze", US_national_yearly!$D:$AM, 10, FALSE), 1)</f>
        <v>7.4411580657431282E-4</v>
      </c>
      <c r="M8" s="7">
        <f>$B8 * IFERROR(VLOOKUP("LULUCF|SO2|Asthma symptoms wheeze", US_national_yearly!$D:$AM, 21, FALSE) / VLOOKUP("LULUCF|SO2|Asthma symptoms wheeze", US_national_yearly!$D:$AM, 10, FALSE), 1)</f>
        <v>7.4411580657431282E-4</v>
      </c>
      <c r="N8" s="7">
        <f>$B8 * IFERROR(VLOOKUP("LULUCF|SO2|Asthma symptoms wheeze", US_national_yearly!$D:$AM, 22, FALSE) / VLOOKUP("LULUCF|SO2|Asthma symptoms wheeze", US_national_yearly!$D:$AM, 10, FALSE), 1)</f>
        <v>7.4411580657431282E-4</v>
      </c>
      <c r="O8" s="7">
        <f>$B8 * IFERROR(VLOOKUP("LULUCF|SO2|Asthma symptoms wheeze", US_national_yearly!$D:$AM, 23, FALSE) / VLOOKUP("LULUCF|SO2|Asthma symptoms wheeze", US_national_yearly!$D:$AM, 10, FALSE), 1)</f>
        <v>7.4411580657431282E-4</v>
      </c>
      <c r="P8" s="7">
        <f>$B8 * IFERROR(VLOOKUP("LULUCF|SO2|Asthma symptoms wheeze", US_national_yearly!$D:$AM, 24, FALSE) / VLOOKUP("LULUCF|SO2|Asthma symptoms wheeze", US_national_yearly!$D:$AM, 10, FALSE), 1)</f>
        <v>7.4411580657431282E-4</v>
      </c>
      <c r="Q8" s="7">
        <f>$B8 * IFERROR(VLOOKUP("LULUCF|SO2|Asthma symptoms wheeze", US_national_yearly!$D:$AM, 25, FALSE) / VLOOKUP("LULUCF|SO2|Asthma symptoms wheeze", US_national_yearly!$D:$AM, 10, FALSE), 1)</f>
        <v>7.4411580657431282E-4</v>
      </c>
      <c r="R8" s="7">
        <f>$B8 * IFERROR(VLOOKUP("LULUCF|SO2|Asthma symptoms wheeze", US_national_yearly!$D:$AM, 26, FALSE) / VLOOKUP("LULUCF|SO2|Asthma symptoms wheeze", US_national_yearly!$D:$AM, 10, FALSE), 1)</f>
        <v>7.4411580657431282E-4</v>
      </c>
      <c r="S8" s="7">
        <f>$B8 * IFERROR(VLOOKUP("LULUCF|SO2|Asthma symptoms wheeze", US_national_yearly!$D:$AM, 27, FALSE) / VLOOKUP("LULUCF|SO2|Asthma symptoms wheeze", US_national_yearly!$D:$AM, 10, FALSE), 1)</f>
        <v>7.4411580657431282E-4</v>
      </c>
      <c r="T8" s="7">
        <f>$B8 * IFERROR(VLOOKUP("LULUCF|SO2|Asthma symptoms wheeze", US_national_yearly!$D:$AM, 28, FALSE) / VLOOKUP("LULUCF|SO2|Asthma symptoms wheeze", US_national_yearly!$D:$AM, 10, FALSE), 1)</f>
        <v>7.4411580657431282E-4</v>
      </c>
      <c r="U8" s="7">
        <f>$B8 * IFERROR(VLOOKUP("LULUCF|SO2|Asthma symptoms wheeze", US_national_yearly!$D:$AM, 29, FALSE) / VLOOKUP("LULUCF|SO2|Asthma symptoms wheeze", US_national_yearly!$D:$AM, 10, FALSE), 1)</f>
        <v>7.4411580657431282E-4</v>
      </c>
      <c r="V8" s="7">
        <f>$B8 * IFERROR(VLOOKUP("LULUCF|SO2|Asthma symptoms wheeze", US_national_yearly!$D:$AM, 30, FALSE) / VLOOKUP("LULUCF|SO2|Asthma symptoms wheeze", US_national_yearly!$D:$AM, 10, FALSE), 1)</f>
        <v>7.4411580657431282E-4</v>
      </c>
      <c r="W8" s="7">
        <f>$B8 * IFERROR(VLOOKUP("LULUCF|SO2|Asthma symptoms wheeze", US_national_yearly!$D:$AM, 31, FALSE) / VLOOKUP("LULUCF|SO2|Asthma symptoms wheeze", US_national_yearly!$D:$AM, 10, FALSE), 1)</f>
        <v>7.4411580657431282E-4</v>
      </c>
      <c r="X8" s="7">
        <f>$B8 * IFERROR(VLOOKUP("LULUCF|SO2|Asthma symptoms wheeze", US_national_yearly!$D:$AM, 32, FALSE) / VLOOKUP("LULUCF|SO2|Asthma symptoms wheeze", US_national_yearly!$D:$AM, 10, FALSE), 1)</f>
        <v>7.4411580657431282E-4</v>
      </c>
      <c r="Y8" s="7">
        <f>$B8 * IFERROR(VLOOKUP("LULUCF|SO2|Asthma symptoms wheeze", US_national_yearly!$D:$AM, 33, FALSE) / VLOOKUP("LULUCF|SO2|Asthma symptoms wheeze", US_national_yearly!$D:$AM, 10, FALSE), 1)</f>
        <v>7.4411580657431282E-4</v>
      </c>
      <c r="Z8" s="7">
        <f>$B8 * IFERROR(VLOOKUP("LULUCF|SO2|Asthma symptoms wheeze", US_national_yearly!$D:$AM, 34, FALSE) / VLOOKUP("LULUCF|SO2|Asthma symptoms wheeze", US_national_yearly!$D:$AM, 10, FALSE), 1)</f>
        <v>7.4411580657431282E-4</v>
      </c>
      <c r="AA8" s="7">
        <f>$B8 * IFERROR(VLOOKUP("LULUCF|SO2|Asthma symptoms wheeze", US_national_yearly!$D:$AM, 35, FALSE) / VLOOKUP("LULUCF|SO2|Asthma symptoms wheeze", US_national_yearly!$D:$AM, 10, FALSE), 1)</f>
        <v>7.4411580657431282E-4</v>
      </c>
      <c r="AB8" s="7">
        <f>$B8 * IFERROR(VLOOKUP("LULUCF|SO2|Asthma symptoms wheeze", US_national_yearly!$D:$AM, 36, FALSE) / VLOOKUP("LULUCF|SO2|Asthma symptoms wheeze", US_national_yearly!$D:$AM, 10, FALSE), 1)</f>
        <v>7.4411580657431282E-4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3.9599226976726708E-6</v>
      </c>
      <c r="C12" s="7">
        <f>$B12 * IFERROR(VLOOKUP("LULUCF|SO2|Respiratory hospital admissions", US_national_yearly!$D:$AM, 11, FALSE) / VLOOKUP("LULUCF|SO2|Respiratory hospital admissions", US_national_yearly!$D:$AM, 10, FALSE), 1)</f>
        <v>3.9832785185315045E-6</v>
      </c>
      <c r="D12" s="7">
        <f>$B12 * IFERROR(VLOOKUP("LULUCF|SO2|Respiratory hospital admissions", US_national_yearly!$D:$AM, 12, FALSE) / VLOOKUP("LULUCF|SO2|Respiratory hospital admissions", US_national_yearly!$D:$AM, 10, FALSE), 1)</f>
        <v>4.0066343393903382E-6</v>
      </c>
      <c r="E12" s="7">
        <f>$B12 * IFERROR(VLOOKUP("LULUCF|SO2|Respiratory hospital admissions", US_national_yearly!$D:$AM, 13, FALSE) / VLOOKUP("LULUCF|SO2|Respiratory hospital admissions", US_national_yearly!$D:$AM, 10, FALSE), 1)</f>
        <v>4.0299901602491728E-6</v>
      </c>
      <c r="F12" s="7">
        <f>$B12 * IFERROR(VLOOKUP("LULUCF|SO2|Respiratory hospital admissions", US_national_yearly!$D:$AM, 14, FALSE) / VLOOKUP("LULUCF|SO2|Respiratory hospital admissions", US_national_yearly!$D:$AM, 10, FALSE), 1)</f>
        <v>4.0533459811080065E-6</v>
      </c>
      <c r="G12" s="7">
        <f>$B12 * IFERROR(VLOOKUP("LULUCF|SO2|Respiratory hospital admissions", US_national_yearly!$D:$AM, 15, FALSE) / VLOOKUP("LULUCF|SO2|Respiratory hospital admissions", US_national_yearly!$D:$AM, 10, FALSE), 1)</f>
        <v>4.0788077652936722E-6</v>
      </c>
      <c r="H12" s="7">
        <f>$B12 * IFERROR(VLOOKUP("LULUCF|SO2|Respiratory hospital admissions", US_national_yearly!$D:$AM, 16, FALSE) / VLOOKUP("LULUCF|SO2|Respiratory hospital admissions", US_national_yearly!$D:$AM, 10, FALSE), 1)</f>
        <v>4.1042695494793379E-6</v>
      </c>
      <c r="I12" s="7">
        <f>$B12 * IFERROR(VLOOKUP("LULUCF|SO2|Respiratory hospital admissions", US_national_yearly!$D:$AM, 17, FALSE) / VLOOKUP("LULUCF|SO2|Respiratory hospital admissions", US_national_yearly!$D:$AM, 10, FALSE), 1)</f>
        <v>4.1293779002715991E-6</v>
      </c>
      <c r="J12" s="7">
        <f>$B12 * IFERROR(VLOOKUP("LULUCF|SO2|Respiratory hospital admissions", US_national_yearly!$D:$AM, 18, FALSE) / VLOOKUP("LULUCF|SO2|Respiratory hospital admissions", US_national_yearly!$D:$AM, 10, FALSE), 1)</f>
        <v>4.1544862510638612E-6</v>
      </c>
      <c r="K12" s="7">
        <f>$B12 * IFERROR(VLOOKUP("LULUCF|SO2|Respiratory hospital admissions", US_national_yearly!$D:$AM, 19, FALSE) / VLOOKUP("LULUCF|SO2|Respiratory hospital admissions", US_national_yearly!$D:$AM, 10, FALSE), 1)</f>
        <v>4.1795946018561216E-6</v>
      </c>
      <c r="L12" s="7">
        <f>$B12 * IFERROR(VLOOKUP("LULUCF|SO2|Respiratory hospital admissions", US_national_yearly!$D:$AM, 20, FALSE) / VLOOKUP("LULUCF|SO2|Respiratory hospital admissions", US_national_yearly!$D:$AM, 10, FALSE), 1)</f>
        <v>4.2047029526483837E-6</v>
      </c>
      <c r="M12" s="7">
        <f>$B12 * IFERROR(VLOOKUP("LULUCF|SO2|Respiratory hospital admissions", US_national_yearly!$D:$AM, 21, FALSE) / VLOOKUP("LULUCF|SO2|Respiratory hospital admissions", US_national_yearly!$D:$AM, 10, FALSE), 1)</f>
        <v>4.2298113034406441E-6</v>
      </c>
      <c r="N12" s="7">
        <f>$B12 * IFERROR(VLOOKUP("LULUCF|SO2|Respiratory hospital admissions", US_national_yearly!$D:$AM, 22, FALSE) / VLOOKUP("LULUCF|SO2|Respiratory hospital admissions", US_national_yearly!$D:$AM, 10, FALSE), 1)</f>
        <v>4.2481396244594169E-6</v>
      </c>
      <c r="O12" s="7">
        <f>$B12 * IFERROR(VLOOKUP("LULUCF|SO2|Respiratory hospital admissions", US_national_yearly!$D:$AM, 23, FALSE) / VLOOKUP("LULUCF|SO2|Respiratory hospital admissions", US_national_yearly!$D:$AM, 10, FALSE), 1)</f>
        <v>4.266467945478188E-6</v>
      </c>
      <c r="P12" s="7">
        <f>$B12 * IFERROR(VLOOKUP("LULUCF|SO2|Respiratory hospital admissions", US_national_yearly!$D:$AM, 24, FALSE) / VLOOKUP("LULUCF|SO2|Respiratory hospital admissions", US_national_yearly!$D:$AM, 10, FALSE), 1)</f>
        <v>4.28479626649696E-6</v>
      </c>
      <c r="Q12" s="7">
        <f>$B12 * IFERROR(VLOOKUP("LULUCF|SO2|Respiratory hospital admissions", US_national_yearly!$D:$AM, 25, FALSE) / VLOOKUP("LULUCF|SO2|Respiratory hospital admissions", US_national_yearly!$D:$AM, 10, FALSE), 1)</f>
        <v>4.303124587515732E-6</v>
      </c>
      <c r="R12" s="7">
        <f>$B12 * IFERROR(VLOOKUP("LULUCF|SO2|Respiratory hospital admissions", US_national_yearly!$D:$AM, 26, FALSE) / VLOOKUP("LULUCF|SO2|Respiratory hospital admissions", US_national_yearly!$D:$AM, 10, FALSE), 1)</f>
        <v>4.3214529085345039E-6</v>
      </c>
      <c r="S12" s="7">
        <f>$B12 * IFERROR(VLOOKUP("LULUCF|SO2|Respiratory hospital admissions", US_national_yearly!$D:$AM, 27, FALSE) / VLOOKUP("LULUCF|SO2|Respiratory hospital admissions", US_national_yearly!$D:$AM, 10, FALSE), 1)</f>
        <v>4.3389367282960561E-6</v>
      </c>
      <c r="T12" s="7">
        <f>$B12 * IFERROR(VLOOKUP("LULUCF|SO2|Respiratory hospital admissions", US_national_yearly!$D:$AM, 28, FALSE) / VLOOKUP("LULUCF|SO2|Respiratory hospital admissions", US_national_yearly!$D:$AM, 10, FALSE), 1)</f>
        <v>4.3564205480576075E-6</v>
      </c>
      <c r="U12" s="7">
        <f>$B12 * IFERROR(VLOOKUP("LULUCF|SO2|Respiratory hospital admissions", US_national_yearly!$D:$AM, 29, FALSE) / VLOOKUP("LULUCF|SO2|Respiratory hospital admissions", US_national_yearly!$D:$AM, 10, FALSE), 1)</f>
        <v>4.3739043678191597E-6</v>
      </c>
      <c r="V12" s="7">
        <f>$B12 * IFERROR(VLOOKUP("LULUCF|SO2|Respiratory hospital admissions", US_national_yearly!$D:$AM, 30, FALSE) / VLOOKUP("LULUCF|SO2|Respiratory hospital admissions", US_national_yearly!$D:$AM, 10, FALSE), 1)</f>
        <v>4.3913881875807127E-6</v>
      </c>
      <c r="W12" s="7">
        <f>$B12 * IFERROR(VLOOKUP("LULUCF|SO2|Respiratory hospital admissions", US_national_yearly!$D:$AM, 31, FALSE) / VLOOKUP("LULUCF|SO2|Respiratory hospital admissions", US_national_yearly!$D:$AM, 10, FALSE), 1)</f>
        <v>4.4088720073422649E-6</v>
      </c>
      <c r="X12" s="7">
        <f>$B12 * IFERROR(VLOOKUP("LULUCF|SO2|Respiratory hospital admissions", US_national_yearly!$D:$AM, 32, FALSE) / VLOOKUP("LULUCF|SO2|Respiratory hospital admissions", US_national_yearly!$D:$AM, 10, FALSE), 1)</f>
        <v>4.4254612817939018E-6</v>
      </c>
      <c r="Y12" s="7">
        <f>$B12 * IFERROR(VLOOKUP("LULUCF|SO2|Respiratory hospital admissions", US_national_yearly!$D:$AM, 33, FALSE) / VLOOKUP("LULUCF|SO2|Respiratory hospital admissions", US_national_yearly!$D:$AM, 10, FALSE), 1)</f>
        <v>4.4420505562455388E-6</v>
      </c>
      <c r="Z12" s="7">
        <f>$B12 * IFERROR(VLOOKUP("LULUCF|SO2|Respiratory hospital admissions", US_national_yearly!$D:$AM, 34, FALSE) / VLOOKUP("LULUCF|SO2|Respiratory hospital admissions", US_national_yearly!$D:$AM, 10, FALSE), 1)</f>
        <v>4.4586398306971765E-6</v>
      </c>
      <c r="AA12" s="7">
        <f>$B12 * IFERROR(VLOOKUP("LULUCF|SO2|Respiratory hospital admissions", US_national_yearly!$D:$AM, 35, FALSE) / VLOOKUP("LULUCF|SO2|Respiratory hospital admissions", US_national_yearly!$D:$AM, 10, FALSE), 1)</f>
        <v>4.4752291051488135E-6</v>
      </c>
      <c r="AB12" s="7">
        <f>$B12 * IFERROR(VLOOKUP("LULUCF|SO2|Respiratory hospital admissions", US_national_yearly!$D:$AM, 36, FALSE) / VLOOKUP("LULUCF|SO2|Respiratory hospital admissions", US_national_yearly!$D:$AM, 10, FALSE), 1)</f>
        <v>4.4918183796004513E-6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2.7662957442365035E-5</v>
      </c>
      <c r="C13" s="7">
        <f>$B13 * IFERROR(VLOOKUP("LULUCF|SO2|Non-fatal heart attacks", US_national_yearly!$D:$AM, 11, FALSE) / VLOOKUP("LULUCF|SO2|Non-fatal heart attacks", US_national_yearly!$D:$AM, 10, FALSE), 1)</f>
        <v>2.847504139550219E-5</v>
      </c>
      <c r="D13" s="7">
        <f>$B13 * IFERROR(VLOOKUP("LULUCF|SO2|Non-fatal heart attacks", US_national_yearly!$D:$AM, 12, FALSE) / VLOOKUP("LULUCF|SO2|Non-fatal heart attacks", US_national_yearly!$D:$AM, 10, FALSE), 1)</f>
        <v>2.9287125348639345E-5</v>
      </c>
      <c r="E13" s="7">
        <f>$B13 * IFERROR(VLOOKUP("LULUCF|SO2|Non-fatal heart attacks", US_national_yearly!$D:$AM, 13, FALSE) / VLOOKUP("LULUCF|SO2|Non-fatal heart attacks", US_national_yearly!$D:$AM, 10, FALSE), 1)</f>
        <v>3.00992093017765E-5</v>
      </c>
      <c r="F13" s="7">
        <f>$B13 * IFERROR(VLOOKUP("LULUCF|SO2|Non-fatal heart attacks", US_national_yearly!$D:$AM, 14, FALSE) / VLOOKUP("LULUCF|SO2|Non-fatal heart attacks", US_national_yearly!$D:$AM, 10, FALSE), 1)</f>
        <v>3.0911293254913648E-5</v>
      </c>
      <c r="G13" s="7">
        <f>$B13 * IFERROR(VLOOKUP("LULUCF|SO2|Non-fatal heart attacks", US_national_yearly!$D:$AM, 15, FALSE) / VLOOKUP("LULUCF|SO2|Non-fatal heart attacks", US_national_yearly!$D:$AM, 10, FALSE), 1)</f>
        <v>3.1677163748110254E-5</v>
      </c>
      <c r="H13" s="7">
        <f>$B13 * IFERROR(VLOOKUP("LULUCF|SO2|Non-fatal heart attacks", US_national_yearly!$D:$AM, 16, FALSE) / VLOOKUP("LULUCF|SO2|Non-fatal heart attacks", US_national_yearly!$D:$AM, 10, FALSE), 1)</f>
        <v>3.2443034241306867E-5</v>
      </c>
      <c r="I13" s="7">
        <f>$B13 * IFERROR(VLOOKUP("LULUCF|SO2|Non-fatal heart attacks", US_national_yearly!$D:$AM, 17, FALSE) / VLOOKUP("LULUCF|SO2|Non-fatal heart attacks", US_national_yearly!$D:$AM, 10, FALSE), 1)</f>
        <v>3.3059319899034417E-5</v>
      </c>
      <c r="J13" s="7">
        <f>$B13 * IFERROR(VLOOKUP("LULUCF|SO2|Non-fatal heart attacks", US_national_yearly!$D:$AM, 18, FALSE) / VLOOKUP("LULUCF|SO2|Non-fatal heart attacks", US_national_yearly!$D:$AM, 10, FALSE), 1)</f>
        <v>3.3675605556761973E-5</v>
      </c>
      <c r="K13" s="7">
        <f>$B13 * IFERROR(VLOOKUP("LULUCF|SO2|Non-fatal heart attacks", US_national_yearly!$D:$AM, 19, FALSE) / VLOOKUP("LULUCF|SO2|Non-fatal heart attacks", US_national_yearly!$D:$AM, 10, FALSE), 1)</f>
        <v>3.4291891214489523E-5</v>
      </c>
      <c r="L13" s="7">
        <f>$B13 * IFERROR(VLOOKUP("LULUCF|SO2|Non-fatal heart attacks", US_national_yearly!$D:$AM, 20, FALSE) / VLOOKUP("LULUCF|SO2|Non-fatal heart attacks", US_national_yearly!$D:$AM, 10, FALSE), 1)</f>
        <v>3.4908176872217087E-5</v>
      </c>
      <c r="M13" s="7">
        <f>$B13 * IFERROR(VLOOKUP("LULUCF|SO2|Non-fatal heart attacks", US_national_yearly!$D:$AM, 21, FALSE) / VLOOKUP("LULUCF|SO2|Non-fatal heart attacks", US_national_yearly!$D:$AM, 10, FALSE), 1)</f>
        <v>3.5524462529944643E-5</v>
      </c>
      <c r="N13" s="7">
        <f>$B13 * IFERROR(VLOOKUP("LULUCF|SO2|Non-fatal heart attacks", US_national_yearly!$D:$AM, 22, FALSE) / VLOOKUP("LULUCF|SO2|Non-fatal heart attacks", US_national_yearly!$D:$AM, 10, FALSE), 1)</f>
        <v>3.5924624253225742E-5</v>
      </c>
      <c r="O13" s="7">
        <f>$B13 * IFERROR(VLOOKUP("LULUCF|SO2|Non-fatal heart attacks", US_national_yearly!$D:$AM, 23, FALSE) / VLOOKUP("LULUCF|SO2|Non-fatal heart attacks", US_national_yearly!$D:$AM, 10, FALSE), 1)</f>
        <v>3.6324785976506853E-5</v>
      </c>
      <c r="P13" s="7">
        <f>$B13 * IFERROR(VLOOKUP("LULUCF|SO2|Non-fatal heart attacks", US_national_yearly!$D:$AM, 24, FALSE) / VLOOKUP("LULUCF|SO2|Non-fatal heart attacks", US_national_yearly!$D:$AM, 10, FALSE), 1)</f>
        <v>3.6724947699787972E-5</v>
      </c>
      <c r="Q13" s="7">
        <f>$B13 * IFERROR(VLOOKUP("LULUCF|SO2|Non-fatal heart attacks", US_national_yearly!$D:$AM, 25, FALSE) / VLOOKUP("LULUCF|SO2|Non-fatal heart attacks", US_national_yearly!$D:$AM, 10, FALSE), 1)</f>
        <v>3.7125109423069077E-5</v>
      </c>
      <c r="R13" s="7">
        <f>$B13 * IFERROR(VLOOKUP("LULUCF|SO2|Non-fatal heart attacks", US_national_yearly!$D:$AM, 26, FALSE) / VLOOKUP("LULUCF|SO2|Non-fatal heart attacks", US_national_yearly!$D:$AM, 10, FALSE), 1)</f>
        <v>3.7525271146350182E-5</v>
      </c>
      <c r="S13" s="7">
        <f>$B13 * IFERROR(VLOOKUP("LULUCF|SO2|Non-fatal heart attacks", US_national_yearly!$D:$AM, 27, FALSE) / VLOOKUP("LULUCF|SO2|Non-fatal heart attacks", US_national_yearly!$D:$AM, 10, FALSE), 1)</f>
        <v>3.7734193331249977E-5</v>
      </c>
      <c r="T13" s="7">
        <f>$B13 * IFERROR(VLOOKUP("LULUCF|SO2|Non-fatal heart attacks", US_national_yearly!$D:$AM, 28, FALSE) / VLOOKUP("LULUCF|SO2|Non-fatal heart attacks", US_national_yearly!$D:$AM, 10, FALSE), 1)</f>
        <v>3.7943115516149766E-5</v>
      </c>
      <c r="U13" s="7">
        <f>$B13 * IFERROR(VLOOKUP("LULUCF|SO2|Non-fatal heart attacks", US_national_yearly!$D:$AM, 29, FALSE) / VLOOKUP("LULUCF|SO2|Non-fatal heart attacks", US_national_yearly!$D:$AM, 10, FALSE), 1)</f>
        <v>3.8152037701049547E-5</v>
      </c>
      <c r="V13" s="7">
        <f>$B13 * IFERROR(VLOOKUP("LULUCF|SO2|Non-fatal heart attacks", US_national_yearly!$D:$AM, 30, FALSE) / VLOOKUP("LULUCF|SO2|Non-fatal heart attacks", US_national_yearly!$D:$AM, 10, FALSE), 1)</f>
        <v>3.8360959885949336E-5</v>
      </c>
      <c r="W13" s="7">
        <f>$B13 * IFERROR(VLOOKUP("LULUCF|SO2|Non-fatal heart attacks", US_national_yearly!$D:$AM, 31, FALSE) / VLOOKUP("LULUCF|SO2|Non-fatal heart attacks", US_national_yearly!$D:$AM, 10, FALSE), 1)</f>
        <v>3.8569882070849131E-5</v>
      </c>
      <c r="X13" s="7">
        <f>$B13 * IFERROR(VLOOKUP("LULUCF|SO2|Non-fatal heart attacks", US_national_yearly!$D:$AM, 32, FALSE) / VLOOKUP("LULUCF|SO2|Non-fatal heart attacks", US_national_yearly!$D:$AM, 10, FALSE), 1)</f>
        <v>3.8727600045220363E-5</v>
      </c>
      <c r="Y13" s="7">
        <f>$B13 * IFERROR(VLOOKUP("LULUCF|SO2|Non-fatal heart attacks", US_national_yearly!$D:$AM, 33, FALSE) / VLOOKUP("LULUCF|SO2|Non-fatal heart attacks", US_national_yearly!$D:$AM, 10, FALSE), 1)</f>
        <v>3.8885318019591589E-5</v>
      </c>
      <c r="Z13" s="7">
        <f>$B13 * IFERROR(VLOOKUP("LULUCF|SO2|Non-fatal heart attacks", US_national_yearly!$D:$AM, 34, FALSE) / VLOOKUP("LULUCF|SO2|Non-fatal heart attacks", US_national_yearly!$D:$AM, 10, FALSE), 1)</f>
        <v>3.9043035993962821E-5</v>
      </c>
      <c r="AA13" s="7">
        <f>$B13 * IFERROR(VLOOKUP("LULUCF|SO2|Non-fatal heart attacks", US_national_yearly!$D:$AM, 35, FALSE) / VLOOKUP("LULUCF|SO2|Non-fatal heart attacks", US_national_yearly!$D:$AM, 10, FALSE), 1)</f>
        <v>3.9200753968334046E-5</v>
      </c>
      <c r="AB13" s="7">
        <f>$B13 * IFERROR(VLOOKUP("LULUCF|SO2|Non-fatal heart attacks", US_national_yearly!$D:$AM, 36, FALSE) / VLOOKUP("LULUCF|SO2|Non-fatal heart attacks", US_national_yearly!$D:$AM, 10, FALSE), 1)</f>
        <v>3.9358471942705278E-5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3.4895818391862968E-2</v>
      </c>
      <c r="C14" s="7">
        <f>$B14 * IFERROR(VLOOKUP("LULUCF|SO2|Minor restricted activity days", US_national_yearly!$D:$AM, 11, FALSE) / VLOOKUP("LULUCF|SO2|Minor restricted activity days", US_national_yearly!$D:$AM, 10, FALSE), 1)</f>
        <v>3.4983779123010081E-2</v>
      </c>
      <c r="D14" s="7">
        <f>$B14 * IFERROR(VLOOKUP("LULUCF|SO2|Minor restricted activity days", US_national_yearly!$D:$AM, 12, FALSE) / VLOOKUP("LULUCF|SO2|Minor restricted activity days", US_national_yearly!$D:$AM, 10, FALSE), 1)</f>
        <v>3.5071739854157187E-2</v>
      </c>
      <c r="E14" s="7">
        <f>$B14 * IFERROR(VLOOKUP("LULUCF|SO2|Minor restricted activity days", US_national_yearly!$D:$AM, 13, FALSE) / VLOOKUP("LULUCF|SO2|Minor restricted activity days", US_national_yearly!$D:$AM, 10, FALSE), 1)</f>
        <v>3.51597005853043E-2</v>
      </c>
      <c r="F14" s="7">
        <f>$B14 * IFERROR(VLOOKUP("LULUCF|SO2|Minor restricted activity days", US_national_yearly!$D:$AM, 14, FALSE) / VLOOKUP("LULUCF|SO2|Minor restricted activity days", US_national_yearly!$D:$AM, 10, FALSE), 1)</f>
        <v>3.5247661316451406E-2</v>
      </c>
      <c r="G14" s="7">
        <f>$B14 * IFERROR(VLOOKUP("LULUCF|SO2|Minor restricted activity days", US_national_yearly!$D:$AM, 15, FALSE) / VLOOKUP("LULUCF|SO2|Minor restricted activity days", US_national_yearly!$D:$AM, 10, FALSE), 1)</f>
        <v>3.5377130871389474E-2</v>
      </c>
      <c r="H14" s="7">
        <f>$B14 * IFERROR(VLOOKUP("LULUCF|SO2|Minor restricted activity days", US_national_yearly!$D:$AM, 16, FALSE) / VLOOKUP("LULUCF|SO2|Minor restricted activity days", US_national_yearly!$D:$AM, 10, FALSE), 1)</f>
        <v>3.5506600426327542E-2</v>
      </c>
      <c r="I14" s="7">
        <f>$B14 * IFERROR(VLOOKUP("LULUCF|SO2|Minor restricted activity days", US_national_yearly!$D:$AM, 17, FALSE) / VLOOKUP("LULUCF|SO2|Minor restricted activity days", US_national_yearly!$D:$AM, 10, FALSE), 1)</f>
        <v>3.5727398684297973E-2</v>
      </c>
      <c r="J14" s="7">
        <f>$B14 * IFERROR(VLOOKUP("LULUCF|SO2|Minor restricted activity days", US_national_yearly!$D:$AM, 18, FALSE) / VLOOKUP("LULUCF|SO2|Minor restricted activity days", US_national_yearly!$D:$AM, 10, FALSE), 1)</f>
        <v>3.5948196942268404E-2</v>
      </c>
      <c r="K14" s="7">
        <f>$B14 * IFERROR(VLOOKUP("LULUCF|SO2|Minor restricted activity days", US_national_yearly!$D:$AM, 19, FALSE) / VLOOKUP("LULUCF|SO2|Minor restricted activity days", US_national_yearly!$D:$AM, 10, FALSE), 1)</f>
        <v>3.6168995200238835E-2</v>
      </c>
      <c r="L14" s="7">
        <f>$B14 * IFERROR(VLOOKUP("LULUCF|SO2|Minor restricted activity days", US_national_yearly!$D:$AM, 20, FALSE) / VLOOKUP("LULUCF|SO2|Minor restricted activity days", US_national_yearly!$D:$AM, 10, FALSE), 1)</f>
        <v>3.6389793458209266E-2</v>
      </c>
      <c r="M14" s="7">
        <f>$B14 * IFERROR(VLOOKUP("LULUCF|SO2|Minor restricted activity days", US_national_yearly!$D:$AM, 21, FALSE) / VLOOKUP("LULUCF|SO2|Minor restricted activity days", US_national_yearly!$D:$AM, 10, FALSE), 1)</f>
        <v>3.6610591716179697E-2</v>
      </c>
      <c r="N14" s="7">
        <f>$B14 * IFERROR(VLOOKUP("LULUCF|SO2|Minor restricted activity days", US_national_yearly!$D:$AM, 22, FALSE) / VLOOKUP("LULUCF|SO2|Minor restricted activity days", US_national_yearly!$D:$AM, 10, FALSE), 1)</f>
        <v>3.6912608304020336E-2</v>
      </c>
      <c r="O14" s="7">
        <f>$B14 * IFERROR(VLOOKUP("LULUCF|SO2|Minor restricted activity days", US_national_yearly!$D:$AM, 23, FALSE) / VLOOKUP("LULUCF|SO2|Minor restricted activity days", US_national_yearly!$D:$AM, 10, FALSE), 1)</f>
        <v>3.7214624891860976E-2</v>
      </c>
      <c r="P14" s="7">
        <f>$B14 * IFERROR(VLOOKUP("LULUCF|SO2|Minor restricted activity days", US_national_yearly!$D:$AM, 24, FALSE) / VLOOKUP("LULUCF|SO2|Minor restricted activity days", US_national_yearly!$D:$AM, 10, FALSE), 1)</f>
        <v>3.7516641479701615E-2</v>
      </c>
      <c r="Q14" s="7">
        <f>$B14 * IFERROR(VLOOKUP("LULUCF|SO2|Minor restricted activity days", US_national_yearly!$D:$AM, 25, FALSE) / VLOOKUP("LULUCF|SO2|Minor restricted activity days", US_national_yearly!$D:$AM, 10, FALSE), 1)</f>
        <v>3.7818658067542255E-2</v>
      </c>
      <c r="R14" s="7">
        <f>$B14 * IFERROR(VLOOKUP("LULUCF|SO2|Minor restricted activity days", US_national_yearly!$D:$AM, 26, FALSE) / VLOOKUP("LULUCF|SO2|Minor restricted activity days", US_national_yearly!$D:$AM, 10, FALSE), 1)</f>
        <v>3.8120674655382901E-2</v>
      </c>
      <c r="S14" s="7">
        <f>$B14 * IFERROR(VLOOKUP("LULUCF|SO2|Minor restricted activity days", US_national_yearly!$D:$AM, 27, FALSE) / VLOOKUP("LULUCF|SO2|Minor restricted activity days", US_national_yearly!$D:$AM, 10, FALSE), 1)</f>
        <v>3.842861012623526E-2</v>
      </c>
      <c r="T14" s="7">
        <f>$B14 * IFERROR(VLOOKUP("LULUCF|SO2|Minor restricted activity days", US_national_yearly!$D:$AM, 28, FALSE) / VLOOKUP("LULUCF|SO2|Minor restricted activity days", US_national_yearly!$D:$AM, 10, FALSE), 1)</f>
        <v>3.8736545597087627E-2</v>
      </c>
      <c r="U14" s="7">
        <f>$B14 * IFERROR(VLOOKUP("LULUCF|SO2|Minor restricted activity days", US_national_yearly!$D:$AM, 29, FALSE) / VLOOKUP("LULUCF|SO2|Minor restricted activity days", US_national_yearly!$D:$AM, 10, FALSE), 1)</f>
        <v>3.9044481067939993E-2</v>
      </c>
      <c r="V14" s="7">
        <f>$B14 * IFERROR(VLOOKUP("LULUCF|SO2|Minor restricted activity days", US_national_yearly!$D:$AM, 30, FALSE) / VLOOKUP("LULUCF|SO2|Minor restricted activity days", US_national_yearly!$D:$AM, 10, FALSE), 1)</f>
        <v>3.9352416538792352E-2</v>
      </c>
      <c r="W14" s="7">
        <f>$B14 * IFERROR(VLOOKUP("LULUCF|SO2|Minor restricted activity days", US_national_yearly!$D:$AM, 31, FALSE) / VLOOKUP("LULUCF|SO2|Minor restricted activity days", US_national_yearly!$D:$AM, 10, FALSE), 1)</f>
        <v>3.9660352009644725E-2</v>
      </c>
      <c r="X14" s="7">
        <f>$B14 * IFERROR(VLOOKUP("LULUCF|SO2|Minor restricted activity days", US_national_yearly!$D:$AM, 32, FALSE) / VLOOKUP("LULUCF|SO2|Minor restricted activity days", US_national_yearly!$D:$AM, 10, FALSE), 1)</f>
        <v>3.9931156717246175E-2</v>
      </c>
      <c r="Y14" s="7">
        <f>$B14 * IFERROR(VLOOKUP("LULUCF|SO2|Minor restricted activity days", US_national_yearly!$D:$AM, 33, FALSE) / VLOOKUP("LULUCF|SO2|Minor restricted activity days", US_national_yearly!$D:$AM, 10, FALSE), 1)</f>
        <v>4.0201961424847624E-2</v>
      </c>
      <c r="Z14" s="7">
        <f>$B14 * IFERROR(VLOOKUP("LULUCF|SO2|Minor restricted activity days", US_national_yearly!$D:$AM, 34, FALSE) / VLOOKUP("LULUCF|SO2|Minor restricted activity days", US_national_yearly!$D:$AM, 10, FALSE), 1)</f>
        <v>4.0472766132449087E-2</v>
      </c>
      <c r="AA14" s="7">
        <f>$B14 * IFERROR(VLOOKUP("LULUCF|SO2|Minor restricted activity days", US_national_yearly!$D:$AM, 35, FALSE) / VLOOKUP("LULUCF|SO2|Minor restricted activity days", US_national_yearly!$D:$AM, 10, FALSE), 1)</f>
        <v>4.0743570840050536E-2</v>
      </c>
      <c r="AB14" s="7">
        <f>$B14 * IFERROR(VLOOKUP("LULUCF|SO2|Minor restricted activity days", US_national_yearly!$D:$AM, 36, FALSE) / VLOOKUP("LULUCF|SO2|Minor restricted activity days", US_national_yearly!$D:$AM, 10, FALSE), 1)</f>
        <v>4.1014375547651992E-2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5.9790613720046544E-3</v>
      </c>
      <c r="C15" s="7">
        <f>$B15 * IFERROR(VLOOKUP("LULUCF|SO2|Work loss days", US_national_yearly!$D:$AM, 11, FALSE) / VLOOKUP("LULUCF|SO2|Work loss days", US_national_yearly!$D:$AM, 10, FALSE), 1)</f>
        <v>5.9984325805622013E-3</v>
      </c>
      <c r="D15" s="7">
        <f>$B15 * IFERROR(VLOOKUP("LULUCF|SO2|Work loss days", US_national_yearly!$D:$AM, 12, FALSE) / VLOOKUP("LULUCF|SO2|Work loss days", US_national_yearly!$D:$AM, 10, FALSE), 1)</f>
        <v>6.0178037891197491E-3</v>
      </c>
      <c r="E15" s="7">
        <f>$B15 * IFERROR(VLOOKUP("LULUCF|SO2|Work loss days", US_national_yearly!$D:$AM, 13, FALSE) / VLOOKUP("LULUCF|SO2|Work loss days", US_national_yearly!$D:$AM, 10, FALSE), 1)</f>
        <v>6.037174997677296E-3</v>
      </c>
      <c r="F15" s="7">
        <f>$B15 * IFERROR(VLOOKUP("LULUCF|SO2|Work loss days", US_national_yearly!$D:$AM, 14, FALSE) / VLOOKUP("LULUCF|SO2|Work loss days", US_national_yearly!$D:$AM, 10, FALSE), 1)</f>
        <v>6.0565462062348438E-3</v>
      </c>
      <c r="G15" s="7">
        <f>$B15 * IFERROR(VLOOKUP("LULUCF|SO2|Work loss days", US_national_yearly!$D:$AM, 15, FALSE) / VLOOKUP("LULUCF|SO2|Work loss days", US_national_yearly!$D:$AM, 10, FALSE), 1)</f>
        <v>6.0818570604341407E-3</v>
      </c>
      <c r="H15" s="7">
        <f>$B15 * IFERROR(VLOOKUP("LULUCF|SO2|Work loss days", US_national_yearly!$D:$AM, 16, FALSE) / VLOOKUP("LULUCF|SO2|Work loss days", US_national_yearly!$D:$AM, 10, FALSE), 1)</f>
        <v>6.107167914633436E-3</v>
      </c>
      <c r="I15" s="7">
        <f>$B15 * IFERROR(VLOOKUP("LULUCF|SO2|Work loss days", US_national_yearly!$D:$AM, 17, FALSE) / VLOOKUP("LULUCF|SO2|Work loss days", US_national_yearly!$D:$AM, 10, FALSE), 1)</f>
        <v>6.1441942965899587E-3</v>
      </c>
      <c r="J15" s="7">
        <f>$B15 * IFERROR(VLOOKUP("LULUCF|SO2|Work loss days", US_national_yearly!$D:$AM, 18, FALSE) / VLOOKUP("LULUCF|SO2|Work loss days", US_national_yearly!$D:$AM, 10, FALSE), 1)</f>
        <v>6.1812206785464797E-3</v>
      </c>
      <c r="K15" s="7">
        <f>$B15 * IFERROR(VLOOKUP("LULUCF|SO2|Work loss days", US_national_yearly!$D:$AM, 19, FALSE) / VLOOKUP("LULUCF|SO2|Work loss days", US_national_yearly!$D:$AM, 10, FALSE), 1)</f>
        <v>6.2182470605030016E-3</v>
      </c>
      <c r="L15" s="7">
        <f>$B15 * IFERROR(VLOOKUP("LULUCF|SO2|Work loss days", US_national_yearly!$D:$AM, 20, FALSE) / VLOOKUP("LULUCF|SO2|Work loss days", US_national_yearly!$D:$AM, 10, FALSE), 1)</f>
        <v>6.2552734424595234E-3</v>
      </c>
      <c r="M15" s="7">
        <f>$B15 * IFERROR(VLOOKUP("LULUCF|SO2|Work loss days", US_national_yearly!$D:$AM, 21, FALSE) / VLOOKUP("LULUCF|SO2|Work loss days", US_national_yearly!$D:$AM, 10, FALSE), 1)</f>
        <v>6.2922998244160462E-3</v>
      </c>
      <c r="N15" s="7">
        <f>$B15 * IFERROR(VLOOKUP("LULUCF|SO2|Work loss days", US_national_yearly!$D:$AM, 22, FALSE) / VLOOKUP("LULUCF|SO2|Work loss days", US_national_yearly!$D:$AM, 10, FALSE), 1)</f>
        <v>6.3387249072429219E-3</v>
      </c>
      <c r="O15" s="7">
        <f>$B15 * IFERROR(VLOOKUP("LULUCF|SO2|Work loss days", US_national_yearly!$D:$AM, 23, FALSE) / VLOOKUP("LULUCF|SO2|Work loss days", US_national_yearly!$D:$AM, 10, FALSE), 1)</f>
        <v>6.3851499900697975E-3</v>
      </c>
      <c r="P15" s="7">
        <f>$B15 * IFERROR(VLOOKUP("LULUCF|SO2|Work loss days", US_national_yearly!$D:$AM, 24, FALSE) / VLOOKUP("LULUCF|SO2|Work loss days", US_national_yearly!$D:$AM, 10, FALSE), 1)</f>
        <v>6.4315750728966723E-3</v>
      </c>
      <c r="Q15" s="7">
        <f>$B15 * IFERROR(VLOOKUP("LULUCF|SO2|Work loss days", US_national_yearly!$D:$AM, 25, FALSE) / VLOOKUP("LULUCF|SO2|Work loss days", US_national_yearly!$D:$AM, 10, FALSE), 1)</f>
        <v>6.478000155723548E-3</v>
      </c>
      <c r="R15" s="7">
        <f>$B15 * IFERROR(VLOOKUP("LULUCF|SO2|Work loss days", US_national_yearly!$D:$AM, 26, FALSE) / VLOOKUP("LULUCF|SO2|Work loss days", US_national_yearly!$D:$AM, 10, FALSE), 1)</f>
        <v>6.5244252385504237E-3</v>
      </c>
      <c r="S15" s="7">
        <f>$B15 * IFERROR(VLOOKUP("LULUCF|SO2|Work loss days", US_national_yearly!$D:$AM, 27, FALSE) / VLOOKUP("LULUCF|SO2|Work loss days", US_national_yearly!$D:$AM, 10, FALSE), 1)</f>
        <v>6.5763051155479143E-3</v>
      </c>
      <c r="T15" s="7">
        <f>$B15 * IFERROR(VLOOKUP("LULUCF|SO2|Work loss days", US_national_yearly!$D:$AM, 28, FALSE) / VLOOKUP("LULUCF|SO2|Work loss days", US_national_yearly!$D:$AM, 10, FALSE), 1)</f>
        <v>6.6281849925454057E-3</v>
      </c>
      <c r="U15" s="7">
        <f>$B15 * IFERROR(VLOOKUP("LULUCF|SO2|Work loss days", US_national_yearly!$D:$AM, 29, FALSE) / VLOOKUP("LULUCF|SO2|Work loss days", US_national_yearly!$D:$AM, 10, FALSE), 1)</f>
        <v>6.6800648695428963E-3</v>
      </c>
      <c r="V15" s="7">
        <f>$B15 * IFERROR(VLOOKUP("LULUCF|SO2|Work loss days", US_national_yearly!$D:$AM, 30, FALSE) / VLOOKUP("LULUCF|SO2|Work loss days", US_national_yearly!$D:$AM, 10, FALSE), 1)</f>
        <v>6.7319447465403869E-3</v>
      </c>
      <c r="W15" s="7">
        <f>$B15 * IFERROR(VLOOKUP("LULUCF|SO2|Work loss days", US_national_yearly!$D:$AM, 31, FALSE) / VLOOKUP("LULUCF|SO2|Work loss days", US_national_yearly!$D:$AM, 10, FALSE), 1)</f>
        <v>6.7838246235378784E-3</v>
      </c>
      <c r="X15" s="7">
        <f>$B15 * IFERROR(VLOOKUP("LULUCF|SO2|Work loss days", US_national_yearly!$D:$AM, 32, FALSE) / VLOOKUP("LULUCF|SO2|Work loss days", US_national_yearly!$D:$AM, 10, FALSE), 1)</f>
        <v>6.8304056021349733E-3</v>
      </c>
      <c r="Y15" s="7">
        <f>$B15 * IFERROR(VLOOKUP("LULUCF|SO2|Work loss days", US_national_yearly!$D:$AM, 33, FALSE) / VLOOKUP("LULUCF|SO2|Work loss days", US_national_yearly!$D:$AM, 10, FALSE), 1)</f>
        <v>6.8769865807320699E-3</v>
      </c>
      <c r="Z15" s="7">
        <f>$B15 * IFERROR(VLOOKUP("LULUCF|SO2|Work loss days", US_national_yearly!$D:$AM, 34, FALSE) / VLOOKUP("LULUCF|SO2|Work loss days", US_national_yearly!$D:$AM, 10, FALSE), 1)</f>
        <v>6.9235675593291657E-3</v>
      </c>
      <c r="AA15" s="7">
        <f>$B15 * IFERROR(VLOOKUP("LULUCF|SO2|Work loss days", US_national_yearly!$D:$AM, 35, FALSE) / VLOOKUP("LULUCF|SO2|Work loss days", US_national_yearly!$D:$AM, 10, FALSE), 1)</f>
        <v>6.9701485379262624E-3</v>
      </c>
      <c r="AB15" s="7">
        <f>$B15 * IFERROR(VLOOKUP("LULUCF|SO2|Work loss days", US_national_yearly!$D:$AM, 36, FALSE) / VLOOKUP("LULUCF|SO2|Work loss days", US_national_yearly!$D:$AM, 10, FALSE), 1)</f>
        <v>7.0167295165233581E-3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5.2172323674580593E-6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5.3750214532332051E-6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5.5328105390083501E-6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5.6905996247834958E-6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5.8483887105586425E-6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5.999535651334283E-6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6.1506825921099252E-6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6.2801860242866458E-6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6.4096894564633657E-6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6.5391928886400863E-6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6.668696320816807E-6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6.798199752993526E-6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6.8851965598590537E-6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6.9721933667245806E-6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7.0591901735901066E-6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7.1461869804556335E-6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7.2331837873211612E-6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7.2789379135539939E-6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7.3246920397868275E-6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7.3704461660196602E-6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7.4162002922524929E-6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7.4619544184853256E-6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7.4926706759412822E-6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7.5233869333972379E-6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7.5541031908531944E-6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7.5848194483091518E-6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7.6155357057651067E-6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2026-06-15T17:17:27Z</dcterms:modified>
</cp:coreProperties>
</file>