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UT\trans\BCDTRtSY\"/>
    </mc:Choice>
  </mc:AlternateContent>
  <xr:revisionPtr revIDLastSave="0" documentId="8_{D494D879-BFBC-4C6C-A02A-4DEA3FC4C970}"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<sst xmlns="http://schemas.openxmlformats.org/spreadsheetml/2006/main" count="6428" uniqueCount="3038">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</sst>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2929</v>
      </c>
      <c r="C1" s="77">
        <v>46248</v>
      </c>
      <c r="H1" t="s">
        <v>2981</v>
      </c>
      <c r="I1" t="s">
        <v>2982</v>
      </c>
    </row>
    <row r="2" spans="1:9">
      <c r="B2" t="str">
        <f>VLOOKUP(B1,H2:I52,2)</f>
        <v>UT</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Utah</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1.0116560930581826</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1.0247872628882</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1.0348352256313396</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1.04448041613822</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1.0533736917919816</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1.0681379587379467</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1.0830822437913352</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1.0965550863400266</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1.110650635129496</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1.1238190120601099</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1.1377267196394554</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1.1521042092757638</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1.1665442243534629</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1.1803037482128191</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1.1942805464689581</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1.208726157841131</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1.2230185901102899</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1.2368995321965415</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1.2510305628468086</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1.2648809672459198</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1.2783843865582902</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1.2908908112461051</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1.3035082684498644</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1.3157902443680991</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1.3285268259950465</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1.0235297789949329</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1.0413602893218152</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1.0557641585642794</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1.0689852548677761</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1.0808052112252562</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1.0976174338984028</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1.1140354110028796</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1.1310036786767004</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1.147519420795734</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1.1644240818032907</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1.1805203679408549</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1.1967884730826233</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1.2125288582798253</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1.2282638211605081</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1.2439570899424186</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1.2603024241283047</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1.2766142341856095</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1.2925541869161952</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1.3083634933780253</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1.3240465790294775</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1.3392678865916026</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1.3543464123366222</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1.3689486931512946</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1.3833148006719804</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1.3975702751574688</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1.0370213157623549</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1.0616303296737819</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1.0754518647394726</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1.0942560489107189</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1.1174162795959313</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1.1466941548252818</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1.1808913242304706</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1.2175267789700863</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1.2571620916978499</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1.3000911155920225</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1.3359856117731463</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1.3723813001268539</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1.4089170760491074</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1.4447430982766223</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1.4814687836166667</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1.518823081703931</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1.5578769175371909</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1.598956968261773</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1.6404290717147558</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1.6825474462216132</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1.7239159346560178</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1.7633220429914556</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1.8033635202072826</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1.8424813810758116</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1.8826086393957777</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1.0695599250511021</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1.1232409562892709</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1.1656994986214175</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1.2036013965757957</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1.2370565164658105</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1.2740231528394252</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1.3091505766827218</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1.345602587262348</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1.3770612553331927</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1.4087906161223982</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1.4367481412911867</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1.4658828990477135</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1.4937985794757525</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1.518861514423465</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1.5444709131205658</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1.5703698809784392</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1.5964527438721487</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1.6208532981854757</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1.6463379880413778</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1.672747905517793</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1.6973191634730858</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1.7228911767825192</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1.7457141956048579</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1.7680831624999247</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1.7901196891366713</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1.0074532804906715</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1.0077314887154376</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1.0018586817038275</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0.99832034994549834</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0.9970027069488292</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1.0011498542927708</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1.0075269382605252</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1.0150090904501163</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1.0236867044219704</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1.033664929518596</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1.0403204565444362</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1.0468770839504116</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1.0531117181208911</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1.0591251534204846</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1.0651019299885893</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1.0713715348583306</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1.0779805534045084</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1.0847938141945641</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1.0914727006578471</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1.0979784349816912</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1.1037811234765011</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1.1086425004261533</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1.1131679924069371</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1.1170601546248291</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1.1211227594149509</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1.0114191605414316</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1.0250872939007236</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1.0358240103373395</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1.046370388133816</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1.0558770145702374</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1.0719686422931798</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1.0881522137711193</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1.1027451545068883</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1.1177252608177906</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1.1317302372046709</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1.1466103703105193</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1.1620008473052255</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1.1773796273686681</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1.1919577892085826</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1.2068026377211767</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1.2224766621501659</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1.2378553574098579</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1.252968647417674</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1.2684908680065206</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1.2838666569957928</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1.2986840345640935</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1.3125906850935793</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1.3264117585614992</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1.3400133823760372</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1.3541011389117634</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1.0015629548841807</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1.0085680132809072</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1.0151777827842421</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1.0229606469067687</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1.0356547007828139</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1.0533076452371364</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1.0729517138722726</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1.0913531895551773</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1.1119553629804595</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1.1334939243538675</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1.1555895060691697</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1.1792934188753221</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1.2046214229795424</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1.2306265567447798</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1.2574952206322676</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1.2850290938448827</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1.3121339476794791</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1.3364276277790506</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1.3606027489121644</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1.3866633636287076</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1.4135531028678592</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1.4415669597770142</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1.4682257082234227</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1.4961348968502115</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1.523316926455295</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1.0162876261502625</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1.0369446250140089</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1.0568532939416426</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1.0742269247003877</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1.0941345233802668</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1.1163031610066265</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1.1396185553619396</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1.1607978289453746</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1.1834862544629057</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1.2062072312840237</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1.2282158478230449</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1.2495965282812871</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1.2699654528267517</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1.2897905464985941</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1.3099185428604108</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1.3314491102045578</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1.3524772600789987</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1.3723923690338582</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1.3927789020742862</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1.4155775083177677</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1.4387888274604839</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1.4620354646548237</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1.482714874199714</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1.5033863629890503</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1.5234079401627176</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1.0324456685386516</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1.0573010355618124</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1.0757604087126351</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1.0981037889604037</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1.1236557502657782</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1.1559634417014915</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1.1919658088458904</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1.2300246579322618</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1.2705262403165518</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1.3136632451234</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1.3524464935239577</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1.3919427503952937</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1.4319031990341198</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1.4717364039573415</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1.5125658404068221</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1.5547845122523092</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1.598562977626244</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1.6441401317790416</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1.6903992571613882</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1.737517787874941</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1.7845354141327783</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1.8306004714145638</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1.8775390173734048</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1.9242660857205689</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1.9721674960672431</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0.98261531070026376</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1.0197610538796906</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1.0041624726425422</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1.0014720231220822</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1.0133750405268291</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0.99849315300759789</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1.01378456776185</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1.0292755780986658</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1.0373680613125558</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1.0517542260434332</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1.0652184550124255</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1.0802132853070492</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1.0915678720846671</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1.1046560201934839</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1.1166018302701066</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1.1277406558993885</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1.1363360520078913</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1.1455736852896026</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1.1576752229555904</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1.1690232929372038</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1.1834028873885714</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1.2023444316601954</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1.2181281794134839</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1.2265651862000535</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1.235747288973746</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0.99756798075490283</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1.0223050855148059</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1.0492686878439272</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1.0729795186404485</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1.0977901678412008</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1.1280830715795624</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1.1608765177571951</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1.1943728774417068</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1.2290388761633206</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1.2652122733165585</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1.297396175582012</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1.326189166816409</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1.3552249740962781</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1.3831671242339283</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1.4114253756039414</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1.4411927187127325</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1.4724817309073905</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1.5035651554838676</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1.5347528099950216</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1.5678638506788545</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1.6014794743253311</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1.6356483322561972</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1.6691700078432952</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1.7025993765067731</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1.7381619378330799</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1.0116560930581826</v>
      </c>
      <c r="E2">
        <f>'BCDTRtSY-state-adjusted'!E5</f>
        <v>1.0247872628882</v>
      </c>
      <c r="F2">
        <f>'BCDTRtSY-state-adjusted'!F5</f>
        <v>1.0348352256313396</v>
      </c>
      <c r="G2">
        <f>'BCDTRtSY-state-adjusted'!G5</f>
        <v>1.04448041613822</v>
      </c>
      <c r="H2">
        <f>'BCDTRtSY-state-adjusted'!H5</f>
        <v>1.0533736917919816</v>
      </c>
      <c r="I2">
        <f>'BCDTRtSY-state-adjusted'!I5</f>
        <v>1.0681379587379467</v>
      </c>
      <c r="J2">
        <f>'BCDTRtSY-state-adjusted'!J5</f>
        <v>1.0830822437913352</v>
      </c>
      <c r="K2">
        <f>'BCDTRtSY-state-adjusted'!K5</f>
        <v>1.0965550863400266</v>
      </c>
      <c r="L2">
        <f>'BCDTRtSY-state-adjusted'!L5</f>
        <v>1.110650635129496</v>
      </c>
      <c r="M2">
        <f>'BCDTRtSY-state-adjusted'!M5</f>
        <v>1.1238190120601099</v>
      </c>
      <c r="N2">
        <f>'BCDTRtSY-state-adjusted'!N5</f>
        <v>1.1377267196394554</v>
      </c>
      <c r="O2">
        <f>'BCDTRtSY-state-adjusted'!O5</f>
        <v>1.1521042092757638</v>
      </c>
      <c r="P2">
        <f>'BCDTRtSY-state-adjusted'!P5</f>
        <v>1.1665442243534629</v>
      </c>
      <c r="Q2">
        <f>'BCDTRtSY-state-adjusted'!Q5</f>
        <v>1.1803037482128191</v>
      </c>
      <c r="R2">
        <f>'BCDTRtSY-state-adjusted'!R5</f>
        <v>1.1942805464689581</v>
      </c>
      <c r="S2">
        <f>'BCDTRtSY-state-adjusted'!S5</f>
        <v>1.208726157841131</v>
      </c>
      <c r="T2">
        <f>'BCDTRtSY-state-adjusted'!T5</f>
        <v>1.2230185901102899</v>
      </c>
      <c r="U2">
        <f>'BCDTRtSY-state-adjusted'!U5</f>
        <v>1.2368995321965415</v>
      </c>
      <c r="V2">
        <f>'BCDTRtSY-state-adjusted'!V5</f>
        <v>1.2510305628468086</v>
      </c>
      <c r="W2">
        <f>'BCDTRtSY-state-adjusted'!W5</f>
        <v>1.2648809672459198</v>
      </c>
      <c r="X2">
        <f>'BCDTRtSY-state-adjusted'!X5</f>
        <v>1.2783843865582902</v>
      </c>
      <c r="Y2">
        <f>'BCDTRtSY-state-adjusted'!Y5</f>
        <v>1.2908908112461051</v>
      </c>
      <c r="Z2">
        <f>'BCDTRtSY-state-adjusted'!Z5</f>
        <v>1.3035082684498644</v>
      </c>
      <c r="AA2">
        <f>'BCDTRtSY-state-adjusted'!AA5</f>
        <v>1.3157902443680991</v>
      </c>
      <c r="AB2">
        <f>'BCDTRtSY-state-adjusted'!AB5</f>
        <v>1.3285268259950465</v>
      </c>
    </row>
    <row r="3" spans="1:28">
      <c r="A3" t="s">
        <v>118</v>
      </c>
      <c r="B3">
        <f>'BCDTRtSY-state-adjusted'!B6</f>
        <v>1</v>
      </c>
      <c r="C3">
        <f>'BCDTRtSY-state-adjusted'!C6</f>
        <v>1</v>
      </c>
      <c r="D3">
        <f>'BCDTRtSY-state-adjusted'!D6</f>
        <v>1.0235297789949329</v>
      </c>
      <c r="E3">
        <f>'BCDTRtSY-state-adjusted'!E6</f>
        <v>1.0413602893218152</v>
      </c>
      <c r="F3">
        <f>'BCDTRtSY-state-adjusted'!F6</f>
        <v>1.0557641585642794</v>
      </c>
      <c r="G3">
        <f>'BCDTRtSY-state-adjusted'!G6</f>
        <v>1.0689852548677761</v>
      </c>
      <c r="H3">
        <f>'BCDTRtSY-state-adjusted'!H6</f>
        <v>1.0808052112252562</v>
      </c>
      <c r="I3">
        <f>'BCDTRtSY-state-adjusted'!I6</f>
        <v>1.0976174338984028</v>
      </c>
      <c r="J3">
        <f>'BCDTRtSY-state-adjusted'!J6</f>
        <v>1.1140354110028796</v>
      </c>
      <c r="K3">
        <f>'BCDTRtSY-state-adjusted'!K6</f>
        <v>1.1310036786767004</v>
      </c>
      <c r="L3">
        <f>'BCDTRtSY-state-adjusted'!L6</f>
        <v>1.147519420795734</v>
      </c>
      <c r="M3">
        <f>'BCDTRtSY-state-adjusted'!M6</f>
        <v>1.1644240818032907</v>
      </c>
      <c r="N3">
        <f>'BCDTRtSY-state-adjusted'!N6</f>
        <v>1.1805203679408549</v>
      </c>
      <c r="O3">
        <f>'BCDTRtSY-state-adjusted'!O6</f>
        <v>1.1967884730826233</v>
      </c>
      <c r="P3">
        <f>'BCDTRtSY-state-adjusted'!P6</f>
        <v>1.2125288582798253</v>
      </c>
      <c r="Q3">
        <f>'BCDTRtSY-state-adjusted'!Q6</f>
        <v>1.2282638211605081</v>
      </c>
      <c r="R3">
        <f>'BCDTRtSY-state-adjusted'!R6</f>
        <v>1.2439570899424186</v>
      </c>
      <c r="S3">
        <f>'BCDTRtSY-state-adjusted'!S6</f>
        <v>1.2603024241283047</v>
      </c>
      <c r="T3">
        <f>'BCDTRtSY-state-adjusted'!T6</f>
        <v>1.2766142341856095</v>
      </c>
      <c r="U3">
        <f>'BCDTRtSY-state-adjusted'!U6</f>
        <v>1.2925541869161952</v>
      </c>
      <c r="V3">
        <f>'BCDTRtSY-state-adjusted'!V6</f>
        <v>1.3083634933780253</v>
      </c>
      <c r="W3">
        <f>'BCDTRtSY-state-adjusted'!W6</f>
        <v>1.3240465790294775</v>
      </c>
      <c r="X3">
        <f>'BCDTRtSY-state-adjusted'!X6</f>
        <v>1.3392678865916026</v>
      </c>
      <c r="Y3">
        <f>'BCDTRtSY-state-adjusted'!Y6</f>
        <v>1.3543464123366222</v>
      </c>
      <c r="Z3">
        <f>'BCDTRtSY-state-adjusted'!Z6</f>
        <v>1.3689486931512946</v>
      </c>
      <c r="AA3">
        <f>'BCDTRtSY-state-adjusted'!AA6</f>
        <v>1.3833148006719804</v>
      </c>
      <c r="AB3">
        <f>'BCDTRtSY-state-adjusted'!AB6</f>
        <v>1.3975702751574688</v>
      </c>
    </row>
    <row r="4" spans="1:28">
      <c r="A4" t="s">
        <v>116</v>
      </c>
      <c r="B4">
        <f>'BCDTRtSY-state-adjusted'!B7</f>
        <v>1</v>
      </c>
      <c r="C4">
        <f>'BCDTRtSY-state-adjusted'!C7</f>
        <v>1</v>
      </c>
      <c r="D4">
        <f>'BCDTRtSY-state-adjusted'!D7</f>
        <v>1.0370213157623549</v>
      </c>
      <c r="E4">
        <f>'BCDTRtSY-state-adjusted'!E7</f>
        <v>1.0616303296737819</v>
      </c>
      <c r="F4">
        <f>'BCDTRtSY-state-adjusted'!F7</f>
        <v>1.0754518647394726</v>
      </c>
      <c r="G4">
        <f>'BCDTRtSY-state-adjusted'!G7</f>
        <v>1.0942560489107189</v>
      </c>
      <c r="H4">
        <f>'BCDTRtSY-state-adjusted'!H7</f>
        <v>1.1174162795959313</v>
      </c>
      <c r="I4">
        <f>'BCDTRtSY-state-adjusted'!I7</f>
        <v>1.1466941548252818</v>
      </c>
      <c r="J4">
        <f>'BCDTRtSY-state-adjusted'!J7</f>
        <v>1.1808913242304706</v>
      </c>
      <c r="K4">
        <f>'BCDTRtSY-state-adjusted'!K7</f>
        <v>1.2175267789700863</v>
      </c>
      <c r="L4">
        <f>'BCDTRtSY-state-adjusted'!L7</f>
        <v>1.2571620916978499</v>
      </c>
      <c r="M4">
        <f>'BCDTRtSY-state-adjusted'!M7</f>
        <v>1.3000911155920225</v>
      </c>
      <c r="N4">
        <f>'BCDTRtSY-state-adjusted'!N7</f>
        <v>1.3359856117731463</v>
      </c>
      <c r="O4">
        <f>'BCDTRtSY-state-adjusted'!O7</f>
        <v>1.3723813001268539</v>
      </c>
      <c r="P4">
        <f>'BCDTRtSY-state-adjusted'!P7</f>
        <v>1.4089170760491074</v>
      </c>
      <c r="Q4">
        <f>'BCDTRtSY-state-adjusted'!Q7</f>
        <v>1.4447430982766223</v>
      </c>
      <c r="R4">
        <f>'BCDTRtSY-state-adjusted'!R7</f>
        <v>1.4814687836166667</v>
      </c>
      <c r="S4">
        <f>'BCDTRtSY-state-adjusted'!S7</f>
        <v>1.518823081703931</v>
      </c>
      <c r="T4">
        <f>'BCDTRtSY-state-adjusted'!T7</f>
        <v>1.5578769175371909</v>
      </c>
      <c r="U4">
        <f>'BCDTRtSY-state-adjusted'!U7</f>
        <v>1.598956968261773</v>
      </c>
      <c r="V4">
        <f>'BCDTRtSY-state-adjusted'!V7</f>
        <v>1.6404290717147558</v>
      </c>
      <c r="W4">
        <f>'BCDTRtSY-state-adjusted'!W7</f>
        <v>1.6825474462216132</v>
      </c>
      <c r="X4">
        <f>'BCDTRtSY-state-adjusted'!X7</f>
        <v>1.7239159346560178</v>
      </c>
      <c r="Y4">
        <f>'BCDTRtSY-state-adjusted'!Y7</f>
        <v>1.7633220429914556</v>
      </c>
      <c r="Z4">
        <f>'BCDTRtSY-state-adjusted'!Z7</f>
        <v>1.8033635202072826</v>
      </c>
      <c r="AA4">
        <f>'BCDTRtSY-state-adjusted'!AA7</f>
        <v>1.8424813810758116</v>
      </c>
      <c r="AB4">
        <f>'BCDTRtSY-state-adjusted'!AB7</f>
        <v>1.8826086393957777</v>
      </c>
    </row>
    <row r="5" spans="1:28">
      <c r="A5" t="s">
        <v>121</v>
      </c>
      <c r="B5">
        <f>'BCDTRtSY-state-adjusted'!B8</f>
        <v>1</v>
      </c>
      <c r="C5">
        <f>'BCDTRtSY-state-adjusted'!C8</f>
        <v>1</v>
      </c>
      <c r="D5">
        <f>'BCDTRtSY-state-adjusted'!D8</f>
        <v>1.0695599250511021</v>
      </c>
      <c r="E5">
        <f>'BCDTRtSY-state-adjusted'!E8</f>
        <v>1.1232409562892709</v>
      </c>
      <c r="F5">
        <f>'BCDTRtSY-state-adjusted'!F8</f>
        <v>1.1656994986214175</v>
      </c>
      <c r="G5">
        <f>'BCDTRtSY-state-adjusted'!G8</f>
        <v>1.2036013965757957</v>
      </c>
      <c r="H5">
        <f>'BCDTRtSY-state-adjusted'!H8</f>
        <v>1.2370565164658105</v>
      </c>
      <c r="I5">
        <f>'BCDTRtSY-state-adjusted'!I8</f>
        <v>1.2740231528394252</v>
      </c>
      <c r="J5">
        <f>'BCDTRtSY-state-adjusted'!J8</f>
        <v>1.3091505766827218</v>
      </c>
      <c r="K5">
        <f>'BCDTRtSY-state-adjusted'!K8</f>
        <v>1.345602587262348</v>
      </c>
      <c r="L5">
        <f>'BCDTRtSY-state-adjusted'!L8</f>
        <v>1.3770612553331927</v>
      </c>
      <c r="M5">
        <f>'BCDTRtSY-state-adjusted'!M8</f>
        <v>1.4087906161223982</v>
      </c>
      <c r="N5">
        <f>'BCDTRtSY-state-adjusted'!N8</f>
        <v>1.4367481412911867</v>
      </c>
      <c r="O5">
        <f>'BCDTRtSY-state-adjusted'!O8</f>
        <v>1.4658828990477135</v>
      </c>
      <c r="P5">
        <f>'BCDTRtSY-state-adjusted'!P8</f>
        <v>1.4937985794757525</v>
      </c>
      <c r="Q5">
        <f>'BCDTRtSY-state-adjusted'!Q8</f>
        <v>1.518861514423465</v>
      </c>
      <c r="R5">
        <f>'BCDTRtSY-state-adjusted'!R8</f>
        <v>1.5444709131205658</v>
      </c>
      <c r="S5">
        <f>'BCDTRtSY-state-adjusted'!S8</f>
        <v>1.5703698809784392</v>
      </c>
      <c r="T5">
        <f>'BCDTRtSY-state-adjusted'!T8</f>
        <v>1.5964527438721487</v>
      </c>
      <c r="U5">
        <f>'BCDTRtSY-state-adjusted'!U8</f>
        <v>1.6208532981854757</v>
      </c>
      <c r="V5">
        <f>'BCDTRtSY-state-adjusted'!V8</f>
        <v>1.6463379880413778</v>
      </c>
      <c r="W5">
        <f>'BCDTRtSY-state-adjusted'!W8</f>
        <v>1.672747905517793</v>
      </c>
      <c r="X5">
        <f>'BCDTRtSY-state-adjusted'!X8</f>
        <v>1.6973191634730858</v>
      </c>
      <c r="Y5">
        <f>'BCDTRtSY-state-adjusted'!Y8</f>
        <v>1.7228911767825192</v>
      </c>
      <c r="Z5">
        <f>'BCDTRtSY-state-adjusted'!Z8</f>
        <v>1.7457141956048579</v>
      </c>
      <c r="AA5">
        <f>'BCDTRtSY-state-adjusted'!AA8</f>
        <v>1.7680831624999247</v>
      </c>
      <c r="AB5">
        <f>'BCDTRtSY-state-adjusted'!AB8</f>
        <v>1.7901196891366713</v>
      </c>
    </row>
    <row r="6" spans="1:28">
      <c r="A6" t="s">
        <v>122</v>
      </c>
      <c r="B6">
        <f>'BCDTRtSY-state-adjusted'!B9</f>
        <v>1</v>
      </c>
      <c r="C6">
        <f>'BCDTRtSY-state-adjusted'!C9</f>
        <v>1</v>
      </c>
      <c r="D6">
        <f>'BCDTRtSY-state-adjusted'!D9</f>
        <v>1.0074532804906715</v>
      </c>
      <c r="E6">
        <f>'BCDTRtSY-state-adjusted'!E9</f>
        <v>1.0077314887154376</v>
      </c>
      <c r="F6">
        <f>'BCDTRtSY-state-adjusted'!F9</f>
        <v>1.0018586817038275</v>
      </c>
      <c r="G6">
        <f>'BCDTRtSY-state-adjusted'!G9</f>
        <v>0.99832034994549834</v>
      </c>
      <c r="H6">
        <f>'BCDTRtSY-state-adjusted'!H9</f>
        <v>0.9970027069488292</v>
      </c>
      <c r="I6">
        <f>'BCDTRtSY-state-adjusted'!I9</f>
        <v>1.0011498542927708</v>
      </c>
      <c r="J6">
        <f>'BCDTRtSY-state-adjusted'!J9</f>
        <v>1.0075269382605252</v>
      </c>
      <c r="K6">
        <f>'BCDTRtSY-state-adjusted'!K9</f>
        <v>1.0150090904501163</v>
      </c>
      <c r="L6">
        <f>'BCDTRtSY-state-adjusted'!L9</f>
        <v>1.0236867044219704</v>
      </c>
      <c r="M6">
        <f>'BCDTRtSY-state-adjusted'!M9</f>
        <v>1.033664929518596</v>
      </c>
      <c r="N6">
        <f>'BCDTRtSY-state-adjusted'!N9</f>
        <v>1.0403204565444362</v>
      </c>
      <c r="O6">
        <f>'BCDTRtSY-state-adjusted'!O9</f>
        <v>1.0468770839504116</v>
      </c>
      <c r="P6">
        <f>'BCDTRtSY-state-adjusted'!P9</f>
        <v>1.0531117181208911</v>
      </c>
      <c r="Q6">
        <f>'BCDTRtSY-state-adjusted'!Q9</f>
        <v>1.0591251534204846</v>
      </c>
      <c r="R6">
        <f>'BCDTRtSY-state-adjusted'!R9</f>
        <v>1.0651019299885893</v>
      </c>
      <c r="S6">
        <f>'BCDTRtSY-state-adjusted'!S9</f>
        <v>1.0713715348583306</v>
      </c>
      <c r="T6">
        <f>'BCDTRtSY-state-adjusted'!T9</f>
        <v>1.0779805534045084</v>
      </c>
      <c r="U6">
        <f>'BCDTRtSY-state-adjusted'!U9</f>
        <v>1.0847938141945641</v>
      </c>
      <c r="V6">
        <f>'BCDTRtSY-state-adjusted'!V9</f>
        <v>1.0914727006578471</v>
      </c>
      <c r="W6">
        <f>'BCDTRtSY-state-adjusted'!W9</f>
        <v>1.0979784349816912</v>
      </c>
      <c r="X6">
        <f>'BCDTRtSY-state-adjusted'!X9</f>
        <v>1.1037811234765011</v>
      </c>
      <c r="Y6">
        <f>'BCDTRtSY-state-adjusted'!Y9</f>
        <v>1.1086425004261533</v>
      </c>
      <c r="Z6">
        <f>'BCDTRtSY-state-adjusted'!Z9</f>
        <v>1.1131679924069371</v>
      </c>
      <c r="AA6">
        <f>'BCDTRtSY-state-adjusted'!AA9</f>
        <v>1.1170601546248291</v>
      </c>
      <c r="AB6">
        <f>'BCDTRtSY-state-adjusted'!AB9</f>
        <v>1.1211227594149509</v>
      </c>
    </row>
    <row r="7" spans="1:28">
      <c r="A7" t="s">
        <v>123</v>
      </c>
      <c r="B7">
        <f>'BCDTRtSY-state-adjusted'!B10</f>
        <v>1</v>
      </c>
      <c r="C7">
        <f>'BCDTRtSY-state-adjusted'!C10</f>
        <v>1</v>
      </c>
      <c r="D7">
        <f>'BCDTRtSY-state-adjusted'!D10</f>
        <v>1.0114191605414316</v>
      </c>
      <c r="E7">
        <f>'BCDTRtSY-state-adjusted'!E10</f>
        <v>1.0250872939007236</v>
      </c>
      <c r="F7">
        <f>'BCDTRtSY-state-adjusted'!F10</f>
        <v>1.0358240103373395</v>
      </c>
      <c r="G7">
        <f>'BCDTRtSY-state-adjusted'!G10</f>
        <v>1.046370388133816</v>
      </c>
      <c r="H7">
        <f>'BCDTRtSY-state-adjusted'!H10</f>
        <v>1.0558770145702374</v>
      </c>
      <c r="I7">
        <f>'BCDTRtSY-state-adjusted'!I10</f>
        <v>1.0719686422931798</v>
      </c>
      <c r="J7">
        <f>'BCDTRtSY-state-adjusted'!J10</f>
        <v>1.0881522137711193</v>
      </c>
      <c r="K7">
        <f>'BCDTRtSY-state-adjusted'!K10</f>
        <v>1.1027451545068883</v>
      </c>
      <c r="L7">
        <f>'BCDTRtSY-state-adjusted'!L10</f>
        <v>1.1177252608177906</v>
      </c>
      <c r="M7">
        <f>'BCDTRtSY-state-adjusted'!M10</f>
        <v>1.1317302372046709</v>
      </c>
      <c r="N7">
        <f>'BCDTRtSY-state-adjusted'!N10</f>
        <v>1.1466103703105193</v>
      </c>
      <c r="O7">
        <f>'BCDTRtSY-state-adjusted'!O10</f>
        <v>1.1620008473052255</v>
      </c>
      <c r="P7">
        <f>'BCDTRtSY-state-adjusted'!P10</f>
        <v>1.1773796273686681</v>
      </c>
      <c r="Q7">
        <f>'BCDTRtSY-state-adjusted'!Q10</f>
        <v>1.1919577892085826</v>
      </c>
      <c r="R7">
        <f>'BCDTRtSY-state-adjusted'!R10</f>
        <v>1.2068026377211767</v>
      </c>
      <c r="S7">
        <f>'BCDTRtSY-state-adjusted'!S10</f>
        <v>1.2224766621501659</v>
      </c>
      <c r="T7">
        <f>'BCDTRtSY-state-adjusted'!T10</f>
        <v>1.2378553574098579</v>
      </c>
      <c r="U7">
        <f>'BCDTRtSY-state-adjusted'!U10</f>
        <v>1.252968647417674</v>
      </c>
      <c r="V7">
        <f>'BCDTRtSY-state-adjusted'!V10</f>
        <v>1.2684908680065206</v>
      </c>
      <c r="W7">
        <f>'BCDTRtSY-state-adjusted'!W10</f>
        <v>1.2838666569957928</v>
      </c>
      <c r="X7">
        <f>'BCDTRtSY-state-adjusted'!X10</f>
        <v>1.2986840345640935</v>
      </c>
      <c r="Y7">
        <f>'BCDTRtSY-state-adjusted'!Y10</f>
        <v>1.3125906850935793</v>
      </c>
      <c r="Z7">
        <f>'BCDTRtSY-state-adjusted'!Z10</f>
        <v>1.3264117585614992</v>
      </c>
      <c r="AA7">
        <f>'BCDTRtSY-state-adjusted'!AA10</f>
        <v>1.3400133823760372</v>
      </c>
      <c r="AB7">
        <f>'BCDTRtSY-state-adjusted'!AB10</f>
        <v>1.3541011389117634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1.0015629548841807</v>
      </c>
      <c r="E2">
        <f>'BCDTRtSY-state-adjusted'!E13</f>
        <v>1.0085680132809072</v>
      </c>
      <c r="F2">
        <f>'BCDTRtSY-state-adjusted'!F13</f>
        <v>1.0151777827842421</v>
      </c>
      <c r="G2">
        <f>'BCDTRtSY-state-adjusted'!G13</f>
        <v>1.0229606469067687</v>
      </c>
      <c r="H2">
        <f>'BCDTRtSY-state-adjusted'!H13</f>
        <v>1.0356547007828139</v>
      </c>
      <c r="I2">
        <f>'BCDTRtSY-state-adjusted'!I13</f>
        <v>1.0533076452371364</v>
      </c>
      <c r="J2">
        <f>'BCDTRtSY-state-adjusted'!J13</f>
        <v>1.0729517138722726</v>
      </c>
      <c r="K2">
        <f>'BCDTRtSY-state-adjusted'!K13</f>
        <v>1.0913531895551773</v>
      </c>
      <c r="L2">
        <f>'BCDTRtSY-state-adjusted'!L13</f>
        <v>1.1119553629804595</v>
      </c>
      <c r="M2">
        <f>'BCDTRtSY-state-adjusted'!M13</f>
        <v>1.1334939243538675</v>
      </c>
      <c r="N2">
        <f>'BCDTRtSY-state-adjusted'!N13</f>
        <v>1.1555895060691697</v>
      </c>
      <c r="O2">
        <f>'BCDTRtSY-state-adjusted'!O13</f>
        <v>1.1792934188753221</v>
      </c>
      <c r="P2">
        <f>'BCDTRtSY-state-adjusted'!P13</f>
        <v>1.2046214229795424</v>
      </c>
      <c r="Q2">
        <f>'BCDTRtSY-state-adjusted'!Q13</f>
        <v>1.2306265567447798</v>
      </c>
      <c r="R2">
        <f>'BCDTRtSY-state-adjusted'!R13</f>
        <v>1.2574952206322676</v>
      </c>
      <c r="S2">
        <f>'BCDTRtSY-state-adjusted'!S13</f>
        <v>1.2850290938448827</v>
      </c>
      <c r="T2">
        <f>'BCDTRtSY-state-adjusted'!T13</f>
        <v>1.3121339476794791</v>
      </c>
      <c r="U2">
        <f>'BCDTRtSY-state-adjusted'!U13</f>
        <v>1.3364276277790506</v>
      </c>
      <c r="V2">
        <f>'BCDTRtSY-state-adjusted'!V13</f>
        <v>1.3606027489121644</v>
      </c>
      <c r="W2">
        <f>'BCDTRtSY-state-adjusted'!W13</f>
        <v>1.3866633636287076</v>
      </c>
      <c r="X2">
        <f>'BCDTRtSY-state-adjusted'!X13</f>
        <v>1.4135531028678592</v>
      </c>
      <c r="Y2">
        <f>'BCDTRtSY-state-adjusted'!Y13</f>
        <v>1.4415669597770142</v>
      </c>
      <c r="Z2">
        <f>'BCDTRtSY-state-adjusted'!Z13</f>
        <v>1.4682257082234227</v>
      </c>
      <c r="AA2">
        <f>'BCDTRtSY-state-adjusted'!AA13</f>
        <v>1.4961348968502115</v>
      </c>
      <c r="AB2">
        <f>'BCDTRtSY-state-adjusted'!AB13</f>
        <v>1.523316926455295</v>
      </c>
    </row>
    <row r="3" spans="1:28">
      <c r="A3" t="s">
        <v>118</v>
      </c>
      <c r="B3">
        <f>'BCDTRtSY-state-adjusted'!B14</f>
        <v>1</v>
      </c>
      <c r="C3">
        <f>'BCDTRtSY-state-adjusted'!C14</f>
        <v>1</v>
      </c>
      <c r="D3">
        <f>'BCDTRtSY-state-adjusted'!D14</f>
        <v>1.0162876261502625</v>
      </c>
      <c r="E3">
        <f>'BCDTRtSY-state-adjusted'!E14</f>
        <v>1.0369446250140089</v>
      </c>
      <c r="F3">
        <f>'BCDTRtSY-state-adjusted'!F14</f>
        <v>1.0568532939416426</v>
      </c>
      <c r="G3">
        <f>'BCDTRtSY-state-adjusted'!G14</f>
        <v>1.0742269247003877</v>
      </c>
      <c r="H3">
        <f>'BCDTRtSY-state-adjusted'!H14</f>
        <v>1.0941345233802668</v>
      </c>
      <c r="I3">
        <f>'BCDTRtSY-state-adjusted'!I14</f>
        <v>1.1163031610066265</v>
      </c>
      <c r="J3">
        <f>'BCDTRtSY-state-adjusted'!J14</f>
        <v>1.1396185553619396</v>
      </c>
      <c r="K3">
        <f>'BCDTRtSY-state-adjusted'!K14</f>
        <v>1.1607978289453746</v>
      </c>
      <c r="L3">
        <f>'BCDTRtSY-state-adjusted'!L14</f>
        <v>1.1834862544629057</v>
      </c>
      <c r="M3">
        <f>'BCDTRtSY-state-adjusted'!M14</f>
        <v>1.2062072312840237</v>
      </c>
      <c r="N3">
        <f>'BCDTRtSY-state-adjusted'!N14</f>
        <v>1.2282158478230449</v>
      </c>
      <c r="O3">
        <f>'BCDTRtSY-state-adjusted'!O14</f>
        <v>1.2495965282812871</v>
      </c>
      <c r="P3">
        <f>'BCDTRtSY-state-adjusted'!P14</f>
        <v>1.2699654528267517</v>
      </c>
      <c r="Q3">
        <f>'BCDTRtSY-state-adjusted'!Q14</f>
        <v>1.2897905464985941</v>
      </c>
      <c r="R3">
        <f>'BCDTRtSY-state-adjusted'!R14</f>
        <v>1.3099185428604108</v>
      </c>
      <c r="S3">
        <f>'BCDTRtSY-state-adjusted'!S14</f>
        <v>1.3314491102045578</v>
      </c>
      <c r="T3">
        <f>'BCDTRtSY-state-adjusted'!T14</f>
        <v>1.3524772600789987</v>
      </c>
      <c r="U3">
        <f>'BCDTRtSY-state-adjusted'!U14</f>
        <v>1.3723923690338582</v>
      </c>
      <c r="V3">
        <f>'BCDTRtSY-state-adjusted'!V14</f>
        <v>1.3927789020742862</v>
      </c>
      <c r="W3">
        <f>'BCDTRtSY-state-adjusted'!W14</f>
        <v>1.4155775083177677</v>
      </c>
      <c r="X3">
        <f>'BCDTRtSY-state-adjusted'!X14</f>
        <v>1.4387888274604839</v>
      </c>
      <c r="Y3">
        <f>'BCDTRtSY-state-adjusted'!Y14</f>
        <v>1.4620354646548237</v>
      </c>
      <c r="Z3">
        <f>'BCDTRtSY-state-adjusted'!Z14</f>
        <v>1.482714874199714</v>
      </c>
      <c r="AA3">
        <f>'BCDTRtSY-state-adjusted'!AA14</f>
        <v>1.5033863629890503</v>
      </c>
      <c r="AB3">
        <f>'BCDTRtSY-state-adjusted'!AB14</f>
        <v>1.5234079401627176</v>
      </c>
    </row>
    <row r="4" spans="1:28">
      <c r="A4" t="s">
        <v>116</v>
      </c>
      <c r="B4">
        <f>'BCDTRtSY-state-adjusted'!B15</f>
        <v>1</v>
      </c>
      <c r="C4">
        <f>'BCDTRtSY-state-adjusted'!C15</f>
        <v>1</v>
      </c>
      <c r="D4">
        <f>'BCDTRtSY-state-adjusted'!D15</f>
        <v>1.0324456685386516</v>
      </c>
      <c r="E4">
        <f>'BCDTRtSY-state-adjusted'!E15</f>
        <v>1.0573010355618124</v>
      </c>
      <c r="F4">
        <f>'BCDTRtSY-state-adjusted'!F15</f>
        <v>1.0757604087126351</v>
      </c>
      <c r="G4">
        <f>'BCDTRtSY-state-adjusted'!G15</f>
        <v>1.0981037889604037</v>
      </c>
      <c r="H4">
        <f>'BCDTRtSY-state-adjusted'!H15</f>
        <v>1.1236557502657782</v>
      </c>
      <c r="I4">
        <f>'BCDTRtSY-state-adjusted'!I15</f>
        <v>1.1559634417014915</v>
      </c>
      <c r="J4">
        <f>'BCDTRtSY-state-adjusted'!J15</f>
        <v>1.1919658088458904</v>
      </c>
      <c r="K4">
        <f>'BCDTRtSY-state-adjusted'!K15</f>
        <v>1.2300246579322618</v>
      </c>
      <c r="L4">
        <f>'BCDTRtSY-state-adjusted'!L15</f>
        <v>1.2705262403165518</v>
      </c>
      <c r="M4">
        <f>'BCDTRtSY-state-adjusted'!M15</f>
        <v>1.3136632451234</v>
      </c>
      <c r="N4">
        <f>'BCDTRtSY-state-adjusted'!N15</f>
        <v>1.3524464935239577</v>
      </c>
      <c r="O4">
        <f>'BCDTRtSY-state-adjusted'!O15</f>
        <v>1.3919427503952937</v>
      </c>
      <c r="P4">
        <f>'BCDTRtSY-state-adjusted'!P15</f>
        <v>1.4319031990341198</v>
      </c>
      <c r="Q4">
        <f>'BCDTRtSY-state-adjusted'!Q15</f>
        <v>1.4717364039573415</v>
      </c>
      <c r="R4">
        <f>'BCDTRtSY-state-adjusted'!R15</f>
        <v>1.5125658404068221</v>
      </c>
      <c r="S4">
        <f>'BCDTRtSY-state-adjusted'!S15</f>
        <v>1.5547845122523092</v>
      </c>
      <c r="T4">
        <f>'BCDTRtSY-state-adjusted'!T15</f>
        <v>1.598562977626244</v>
      </c>
      <c r="U4">
        <f>'BCDTRtSY-state-adjusted'!U15</f>
        <v>1.6441401317790416</v>
      </c>
      <c r="V4">
        <f>'BCDTRtSY-state-adjusted'!V15</f>
        <v>1.6903992571613882</v>
      </c>
      <c r="W4">
        <f>'BCDTRtSY-state-adjusted'!W15</f>
        <v>1.737517787874941</v>
      </c>
      <c r="X4">
        <f>'BCDTRtSY-state-adjusted'!X15</f>
        <v>1.7845354141327783</v>
      </c>
      <c r="Y4">
        <f>'BCDTRtSY-state-adjusted'!Y15</f>
        <v>1.8306004714145638</v>
      </c>
      <c r="Z4">
        <f>'BCDTRtSY-state-adjusted'!Z15</f>
        <v>1.8775390173734048</v>
      </c>
      <c r="AA4">
        <f>'BCDTRtSY-state-adjusted'!AA15</f>
        <v>1.9242660857205689</v>
      </c>
      <c r="AB4">
        <f>'BCDTRtSY-state-adjusted'!AB15</f>
        <v>1.9721674960672431</v>
      </c>
    </row>
    <row r="5" spans="1:28">
      <c r="A5" t="s">
        <v>121</v>
      </c>
      <c r="B5">
        <f>'BCDTRtSY-state-adjusted'!B16</f>
        <v>1</v>
      </c>
      <c r="C5">
        <f>'BCDTRtSY-state-adjusted'!C16</f>
        <v>1</v>
      </c>
      <c r="D5">
        <f>'BCDTRtSY-state-adjusted'!D16</f>
        <v>0.98261531070026376</v>
      </c>
      <c r="E5">
        <f>'BCDTRtSY-state-adjusted'!E16</f>
        <v>1.0197610538796906</v>
      </c>
      <c r="F5">
        <f>'BCDTRtSY-state-adjusted'!F16</f>
        <v>1.0041624726425422</v>
      </c>
      <c r="G5">
        <f>'BCDTRtSY-state-adjusted'!G16</f>
        <v>1.0014720231220822</v>
      </c>
      <c r="H5">
        <f>'BCDTRtSY-state-adjusted'!H16</f>
        <v>1.0133750405268291</v>
      </c>
      <c r="I5">
        <f>'BCDTRtSY-state-adjusted'!I16</f>
        <v>0.99849315300759789</v>
      </c>
      <c r="J5">
        <f>'BCDTRtSY-state-adjusted'!J16</f>
        <v>1.01378456776185</v>
      </c>
      <c r="K5">
        <f>'BCDTRtSY-state-adjusted'!K16</f>
        <v>1.0292755780986658</v>
      </c>
      <c r="L5">
        <f>'BCDTRtSY-state-adjusted'!L16</f>
        <v>1.0373680613125558</v>
      </c>
      <c r="M5">
        <f>'BCDTRtSY-state-adjusted'!M16</f>
        <v>1.0517542260434332</v>
      </c>
      <c r="N5">
        <f>'BCDTRtSY-state-adjusted'!N16</f>
        <v>1.0652184550124255</v>
      </c>
      <c r="O5">
        <f>'BCDTRtSY-state-adjusted'!O16</f>
        <v>1.0802132853070492</v>
      </c>
      <c r="P5">
        <f>'BCDTRtSY-state-adjusted'!P16</f>
        <v>1.0915678720846671</v>
      </c>
      <c r="Q5">
        <f>'BCDTRtSY-state-adjusted'!Q16</f>
        <v>1.1046560201934839</v>
      </c>
      <c r="R5">
        <f>'BCDTRtSY-state-adjusted'!R16</f>
        <v>1.1166018302701066</v>
      </c>
      <c r="S5">
        <f>'BCDTRtSY-state-adjusted'!S16</f>
        <v>1.1277406558993885</v>
      </c>
      <c r="T5">
        <f>'BCDTRtSY-state-adjusted'!T16</f>
        <v>1.1363360520078913</v>
      </c>
      <c r="U5">
        <f>'BCDTRtSY-state-adjusted'!U16</f>
        <v>1.1455736852896026</v>
      </c>
      <c r="V5">
        <f>'BCDTRtSY-state-adjusted'!V16</f>
        <v>1.1576752229555904</v>
      </c>
      <c r="W5">
        <f>'BCDTRtSY-state-adjusted'!W16</f>
        <v>1.1690232929372038</v>
      </c>
      <c r="X5">
        <f>'BCDTRtSY-state-adjusted'!X16</f>
        <v>1.1834028873885714</v>
      </c>
      <c r="Y5">
        <f>'BCDTRtSY-state-adjusted'!Y16</f>
        <v>1.2023444316601954</v>
      </c>
      <c r="Z5">
        <f>'BCDTRtSY-state-adjusted'!Z16</f>
        <v>1.2181281794134839</v>
      </c>
      <c r="AA5">
        <f>'BCDTRtSY-state-adjusted'!AA16</f>
        <v>1.2265651862000535</v>
      </c>
      <c r="AB5">
        <f>'BCDTRtSY-state-adjusted'!AB16</f>
        <v>1.235747288973746</v>
      </c>
    </row>
    <row r="6" spans="1:28">
      <c r="A6" t="s">
        <v>122</v>
      </c>
      <c r="B6">
        <f>'BCDTRtSY-state-adjusted'!B17</f>
        <v>1</v>
      </c>
      <c r="C6">
        <f>'BCDTRtSY-state-adjusted'!C17</f>
        <v>1</v>
      </c>
      <c r="D6">
        <f>'BCDTRtSY-state-adjusted'!D17</f>
        <v>0.99756798075490283</v>
      </c>
      <c r="E6">
        <f>'BCDTRtSY-state-adjusted'!E17</f>
        <v>1.0223050855148059</v>
      </c>
      <c r="F6">
        <f>'BCDTRtSY-state-adjusted'!F17</f>
        <v>1.0492686878439272</v>
      </c>
      <c r="G6">
        <f>'BCDTRtSY-state-adjusted'!G17</f>
        <v>1.0729795186404485</v>
      </c>
      <c r="H6">
        <f>'BCDTRtSY-state-adjusted'!H17</f>
        <v>1.0977901678412008</v>
      </c>
      <c r="I6">
        <f>'BCDTRtSY-state-adjusted'!I17</f>
        <v>1.1280830715795624</v>
      </c>
      <c r="J6">
        <f>'BCDTRtSY-state-adjusted'!J17</f>
        <v>1.1608765177571951</v>
      </c>
      <c r="K6">
        <f>'BCDTRtSY-state-adjusted'!K17</f>
        <v>1.1943728774417068</v>
      </c>
      <c r="L6">
        <f>'BCDTRtSY-state-adjusted'!L17</f>
        <v>1.2290388761633206</v>
      </c>
      <c r="M6">
        <f>'BCDTRtSY-state-adjusted'!M17</f>
        <v>1.2652122733165585</v>
      </c>
      <c r="N6">
        <f>'BCDTRtSY-state-adjusted'!N17</f>
        <v>1.297396175582012</v>
      </c>
      <c r="O6">
        <f>'BCDTRtSY-state-adjusted'!O17</f>
        <v>1.326189166816409</v>
      </c>
      <c r="P6">
        <f>'BCDTRtSY-state-adjusted'!P17</f>
        <v>1.3552249740962781</v>
      </c>
      <c r="Q6">
        <f>'BCDTRtSY-state-adjusted'!Q17</f>
        <v>1.3831671242339283</v>
      </c>
      <c r="R6">
        <f>'BCDTRtSY-state-adjusted'!R17</f>
        <v>1.4114253756039414</v>
      </c>
      <c r="S6">
        <f>'BCDTRtSY-state-adjusted'!S17</f>
        <v>1.4411927187127325</v>
      </c>
      <c r="T6">
        <f>'BCDTRtSY-state-adjusted'!T17</f>
        <v>1.4724817309073905</v>
      </c>
      <c r="U6">
        <f>'BCDTRtSY-state-adjusted'!U17</f>
        <v>1.5035651554838676</v>
      </c>
      <c r="V6">
        <f>'BCDTRtSY-state-adjusted'!V17</f>
        <v>1.5347528099950216</v>
      </c>
      <c r="W6">
        <f>'BCDTRtSY-state-adjusted'!W17</f>
        <v>1.5678638506788545</v>
      </c>
      <c r="X6">
        <f>'BCDTRtSY-state-adjusted'!X17</f>
        <v>1.6014794743253311</v>
      </c>
      <c r="Y6">
        <f>'BCDTRtSY-state-adjusted'!Y17</f>
        <v>1.6356483322561972</v>
      </c>
      <c r="Z6">
        <f>'BCDTRtSY-state-adjusted'!Z17</f>
        <v>1.6691700078432952</v>
      </c>
      <c r="AA6">
        <f>'BCDTRtSY-state-adjusted'!AA17</f>
        <v>1.7025993765067731</v>
      </c>
      <c r="AB6">
        <f>'BCDTRtSY-state-adjusted'!AB17</f>
        <v>1.7381619378330799</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2026-08-14T21:49:39Z</dcterms:modified>
</cp:coreProperties>
</file>