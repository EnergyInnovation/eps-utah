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bbieOrvis\Models\state-eps-data-main405-cmp\UT\trans\RoPCCtPCC\"/>
    </mc:Choice>
  </mc:AlternateContent>
  <xr:revisionPtr revIDLastSave="0" documentId="13_ncr:1_{5DE52EB2-7046-498E-9A98-F738BCFF0D84}" xr6:coauthVersionLast="47" xr6:coauthVersionMax="47" xr10:uidLastSave="{00000000-0000-0000-0000-000000000000}"/>
  <bookViews>
    <workbookView xWindow="384" yWindow="384" windowWidth="17280" windowHeight="10008" xr2:uid="{00000000-000D-0000-FFFF-FFFF00000000}"/>
  </bookViews>
  <sheets>
    <sheet name="About" sheetId="1" r:id="rId1"/>
    <sheet name="Keys" sheetId="2" r:id="rId2"/>
    <sheet name="AAA public prices" sheetId="3" r:id="rId3"/>
    <sheet name="EIA residential prices" sheetId="4" r:id="rId4"/>
    <sheet name="Calcs" sheetId="5" r:id="rId5"/>
    <sheet name="Checks" sheetId="6" r:id="rId6"/>
    <sheet name="RoPCCtPC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5" l="1"/>
  <c r="C55" i="5"/>
  <c r="B55" i="5"/>
  <c r="E55" i="5" s="1"/>
  <c r="C54" i="5"/>
  <c r="B54" i="5"/>
  <c r="D54" i="5" s="1"/>
  <c r="C53" i="5"/>
  <c r="B53" i="5"/>
  <c r="E53" i="5" s="1"/>
  <c r="C52" i="5"/>
  <c r="B52" i="5"/>
  <c r="D52" i="5" s="1"/>
  <c r="C51" i="5"/>
  <c r="B51" i="5"/>
  <c r="D51" i="5" s="1"/>
  <c r="C50" i="5"/>
  <c r="B50" i="5"/>
  <c r="D50" i="5" s="1"/>
  <c r="C49" i="5"/>
  <c r="B49" i="5"/>
  <c r="C48" i="5"/>
  <c r="B48" i="5"/>
  <c r="C47" i="5"/>
  <c r="B47" i="5"/>
  <c r="E47" i="5" s="1"/>
  <c r="C46" i="5"/>
  <c r="B46" i="5"/>
  <c r="C45" i="5"/>
  <c r="B45" i="5"/>
  <c r="D45" i="5" s="1"/>
  <c r="C44" i="5"/>
  <c r="B44" i="5"/>
  <c r="E44" i="5" s="1"/>
  <c r="C43" i="5"/>
  <c r="B43" i="5"/>
  <c r="D43" i="5" s="1"/>
  <c r="C42" i="5"/>
  <c r="B42" i="5"/>
  <c r="E42" i="5" s="1"/>
  <c r="C41" i="5"/>
  <c r="B41" i="5"/>
  <c r="D41" i="5" s="1"/>
  <c r="C40" i="5"/>
  <c r="B40" i="5"/>
  <c r="E40" i="5" s="1"/>
  <c r="C39" i="5"/>
  <c r="B39" i="5"/>
  <c r="E39" i="5" s="1"/>
  <c r="C38" i="5"/>
  <c r="D38" i="5" s="1"/>
  <c r="B38" i="5"/>
  <c r="C37" i="5"/>
  <c r="B37" i="5"/>
  <c r="E37" i="5" s="1"/>
  <c r="C36" i="5"/>
  <c r="B36" i="5"/>
  <c r="E36" i="5" s="1"/>
  <c r="C35" i="5"/>
  <c r="B35" i="5"/>
  <c r="D35" i="5" s="1"/>
  <c r="C34" i="5"/>
  <c r="B34" i="5"/>
  <c r="D34" i="5" s="1"/>
  <c r="C33" i="5"/>
  <c r="B33" i="5"/>
  <c r="D33" i="5" s="1"/>
  <c r="C32" i="5"/>
  <c r="B32" i="5"/>
  <c r="D32" i="5" s="1"/>
  <c r="C31" i="5"/>
  <c r="B31" i="5"/>
  <c r="E31" i="5" s="1"/>
  <c r="C30" i="5"/>
  <c r="B30" i="5"/>
  <c r="E30" i="5" s="1"/>
  <c r="C29" i="5"/>
  <c r="B29" i="5"/>
  <c r="E29" i="5" s="1"/>
  <c r="C28" i="5"/>
  <c r="B28" i="5"/>
  <c r="C27" i="5"/>
  <c r="B27" i="5"/>
  <c r="C26" i="5"/>
  <c r="B26" i="5"/>
  <c r="E26" i="5" s="1"/>
  <c r="C25" i="5"/>
  <c r="B25" i="5"/>
  <c r="E25" i="5" s="1"/>
  <c r="C24" i="5"/>
  <c r="B24" i="5"/>
  <c r="E24" i="5" s="1"/>
  <c r="C23" i="5"/>
  <c r="B23" i="5"/>
  <c r="E23" i="5" s="1"/>
  <c r="C22" i="5"/>
  <c r="B22" i="5"/>
  <c r="E22" i="5" s="1"/>
  <c r="C21" i="5"/>
  <c r="B21" i="5"/>
  <c r="D21" i="5" s="1"/>
  <c r="C20" i="5"/>
  <c r="B20" i="5"/>
  <c r="E20" i="5" s="1"/>
  <c r="C19" i="5"/>
  <c r="B19" i="5"/>
  <c r="E19" i="5" s="1"/>
  <c r="C18" i="5"/>
  <c r="B18" i="5"/>
  <c r="C17" i="5"/>
  <c r="B17" i="5"/>
  <c r="E17" i="5" s="1"/>
  <c r="C16" i="5"/>
  <c r="E16" i="5" s="1"/>
  <c r="B16" i="5"/>
  <c r="C15" i="5"/>
  <c r="B15" i="5"/>
  <c r="E15" i="5" s="1"/>
  <c r="C14" i="5"/>
  <c r="B14" i="5"/>
  <c r="E14" i="5" s="1"/>
  <c r="C13" i="5"/>
  <c r="B13" i="5"/>
  <c r="E13" i="5" s="1"/>
  <c r="C12" i="5"/>
  <c r="B12" i="5"/>
  <c r="E12" i="5" s="1"/>
  <c r="C11" i="5"/>
  <c r="B11" i="5"/>
  <c r="D11" i="5" s="1"/>
  <c r="C10" i="5"/>
  <c r="B10" i="5"/>
  <c r="D10" i="5" s="1"/>
  <c r="C9" i="5"/>
  <c r="B9" i="5"/>
  <c r="E9" i="5" s="1"/>
  <c r="C8" i="5"/>
  <c r="B8" i="5"/>
  <c r="C7" i="5"/>
  <c r="B7" i="5"/>
  <c r="E7" i="5" s="1"/>
  <c r="C6" i="5"/>
  <c r="B6" i="5"/>
  <c r="E6" i="5" s="1"/>
  <c r="C5" i="5"/>
  <c r="B5" i="5"/>
  <c r="B2" i="1"/>
  <c r="B67" i="5" s="1"/>
  <c r="B68" i="5" s="1"/>
  <c r="E27" i="5" l="1"/>
  <c r="E8" i="5"/>
  <c r="E18" i="5"/>
  <c r="D28" i="5"/>
  <c r="E48" i="5"/>
  <c r="E49" i="5"/>
  <c r="D9" i="5"/>
  <c r="D42" i="5"/>
  <c r="D31" i="5"/>
  <c r="E21" i="5"/>
  <c r="D53" i="5"/>
  <c r="D20" i="5"/>
  <c r="E54" i="5"/>
  <c r="E5" i="5"/>
  <c r="E32" i="5"/>
  <c r="E43" i="5"/>
  <c r="E46" i="5"/>
  <c r="E10" i="5"/>
  <c r="D16" i="5"/>
  <c r="D27" i="5"/>
  <c r="D49" i="5"/>
  <c r="D55" i="5"/>
  <c r="B63" i="5" s="1"/>
  <c r="E11" i="5"/>
  <c r="E28" i="5"/>
  <c r="E50" i="5"/>
  <c r="D7" i="5"/>
  <c r="D29" i="5"/>
  <c r="E51" i="5"/>
  <c r="D13" i="5"/>
  <c r="D24" i="5"/>
  <c r="D8" i="5"/>
  <c r="D19" i="5"/>
  <c r="D30" i="5"/>
  <c r="E41" i="5"/>
  <c r="D14" i="5"/>
  <c r="D47" i="5"/>
  <c r="E38" i="5"/>
  <c r="D39" i="5"/>
  <c r="E45" i="5"/>
  <c r="D18" i="5"/>
  <c r="E35" i="5"/>
  <c r="E52" i="5"/>
  <c r="D25" i="5"/>
  <c r="D36" i="5"/>
  <c r="D5" i="5"/>
  <c r="D6" i="5"/>
  <c r="D12" i="5"/>
  <c r="E34" i="5"/>
  <c r="D40" i="5"/>
  <c r="B69" i="5"/>
  <c r="B4" i="6"/>
  <c r="C4" i="6" s="1"/>
  <c r="D44" i="5"/>
  <c r="E33" i="5"/>
  <c r="D15" i="5"/>
  <c r="D26" i="5"/>
  <c r="D37" i="5"/>
  <c r="D48" i="5"/>
  <c r="B70" i="5" s="1"/>
  <c r="D22" i="5"/>
  <c r="D17" i="5"/>
  <c r="D46" i="5"/>
  <c r="D23" i="5"/>
  <c r="B7" i="6" l="1"/>
  <c r="C7" i="6" s="1"/>
  <c r="B1" i="7"/>
  <c r="B8" i="6" s="1"/>
  <c r="C8" i="6" s="1"/>
  <c r="B5" i="6"/>
  <c r="C5" i="6" s="1"/>
  <c r="B6" i="6"/>
  <c r="C6" i="6" s="1"/>
</calcChain>
</file>

<file path=xl/sharedStrings.xml><?xml version="1.0" encoding="utf-8"?>
<sst xmlns="http://schemas.openxmlformats.org/spreadsheetml/2006/main" count="386" uniqueCount="177">
  <si>
    <t>RoPCCtPCC RoPCCtPCC Ratio Pub Chrg Cost to Pvt Chrg Cost</t>
  </si>
  <si>
    <t>Utah</t>
  </si>
  <si>
    <t>Alabama</t>
  </si>
  <si>
    <t>AL</t>
  </si>
  <si>
    <t>Alaska</t>
  </si>
  <si>
    <t>AK</t>
  </si>
  <si>
    <t>Sources:</t>
  </si>
  <si>
    <t>Average public / commercial EV charging price by state ($/kWh)</t>
  </si>
  <si>
    <t>Arizona</t>
  </si>
  <si>
    <t>AZ</t>
  </si>
  <si>
    <t>AAA (American Automobile Association)</t>
  </si>
  <si>
    <t>Arkansas</t>
  </si>
  <si>
    <t>AR</t>
  </si>
  <si>
    <t>AAA Fuel Prices - EV Charging Prices (state map)</t>
  </si>
  <si>
    <t>California</t>
  </si>
  <si>
    <t>CA</t>
  </si>
  <si>
    <t>Colorado</t>
  </si>
  <si>
    <t>CO</t>
  </si>
  <si>
    <t>https://gasprices.aaa.com/ev-charging-prices/</t>
  </si>
  <si>
    <t>Connecticut</t>
  </si>
  <si>
    <t>CT</t>
  </si>
  <si>
    <t>Read 9/14/2026; pasted verbatim on tab 'AAA public prices' (state, $/kWh; last row US = national average $0.424). AAA describes it as the 'national and state daily average per kilowatt hour cost for all commercial/public charging (Level 1, Level 2, and Level 3/DC Fast Charging)' and publishes no weighting; treat it as a posted-price average that is DC-fast-heavy, not kWh-weighted. It must not be read as a Level-2 price or as what a driver with home access pays. WV ($0.528) is the highest state and 23-50% above every neighbor on a thin network (~55 DC-fast sites); kept as published (no empirical basis to override, Robbie 2026-09-14) - re-check at the next refresh. The series launched 11/2024 at a $0.34 national average, so vintages are not comparable over time.</t>
  </si>
  <si>
    <t>Delaware</t>
  </si>
  <si>
    <t>DE</t>
  </si>
  <si>
    <t>Florida</t>
  </si>
  <si>
    <t>FL</t>
  </si>
  <si>
    <t>Average residential retail electricity price by state (cents/kWh)</t>
  </si>
  <si>
    <t>Georgia</t>
  </si>
  <si>
    <t>GA</t>
  </si>
  <si>
    <t>U.S. Energy Information Administration</t>
  </si>
  <si>
    <t>Hawaii</t>
  </si>
  <si>
    <t>HI</t>
  </si>
  <si>
    <t>Electric Power Monthly, Table 5.6.A (average price of electricity to ultimate customers by end-use sector, by state)</t>
  </si>
  <si>
    <t>Idaho</t>
  </si>
  <si>
    <t>ID</t>
  </si>
  <si>
    <t>Illinois</t>
  </si>
  <si>
    <t>IL</t>
  </si>
  <si>
    <t>https://www.eia.gov/electricity/monthly/epm_table_grapher.php?t=epmt_5_6_a</t>
  </si>
  <si>
    <t>Indiana</t>
  </si>
  <si>
    <t>IN</t>
  </si>
  <si>
    <t>June 2026 column (released 8/26/2026, preliminary, 'based on a cutoff model sample'); pasted verbatim on tab 'EIA residential prices' (state, cents/kWh; last row US). Converted to $/kWh on Calcs. Same month as the AAA read so the ratio is unit- and vintage-consistent. Not a transport-sector price; the model applies the ratio to its own (2012$) transport electricity price, so only the RATIO carries over, never these levels.</t>
  </si>
  <si>
    <t>Iowa</t>
  </si>
  <si>
    <t>IA</t>
  </si>
  <si>
    <t>Kansas</t>
  </si>
  <si>
    <t>KS</t>
  </si>
  <si>
    <t>Kentucky</t>
  </si>
  <si>
    <t>KY</t>
  </si>
  <si>
    <t>Notes:</t>
  </si>
  <si>
    <t>Louisiana</t>
  </si>
  <si>
    <t>LA</t>
  </si>
  <si>
    <t>What this is</t>
  </si>
  <si>
    <t>RoPCCtPCC is the dimensionless ratio the EPS multiplies into the transport-sector electricity price for the share of EV charging that is not at private (home) chargers: EV electricity price = transport electricity price x [private share + (1 - private share) x RoPCCtPCC]. The private share is SoVCaPC.</t>
  </si>
  <si>
    <t>Maine</t>
  </si>
  <si>
    <t>ME</t>
  </si>
  <si>
    <t>State selector</t>
  </si>
  <si>
    <t>About!B1 (full state name, drop-down) selects the state; About!B2 derives the abbreviation; Calcs pulls that state's row from the two source tabs; the RoPCCtPCC output tab reads the selected ratio. Each state folder in state-eps-data carries a copy of this workbook with B1 set to its state; the CSV beside it reflects that selection.</t>
  </si>
  <si>
    <t>Maryland</t>
  </si>
  <si>
    <t>MD</t>
  </si>
  <si>
    <t>Method (2026-09-14)</t>
  </si>
  <si>
    <t>ratio = AAA state public price / EIA state residential price, both all-in retail $/kWh for the same month. Replaces the single national constant 2.42 (AAA national $0.419 / EIA national 2025 $0.173), kept on Calcs as a reference. Rationale: public prices vary little across states ($0.32-0.53/kWh) while residential prices vary more than two-fold, so the public premium behaves as a fixed adder ($0.10-0.37/kWh); a single national ratio overstated public charging costs by 75-110% in the high-price Northeast and California and understated them in cheap-power states. State ratios run 1.33 (MA) to 3.55 (LA), median 2.47.</t>
  </si>
  <si>
    <t>Massachusetts</t>
  </si>
  <si>
    <t>MA</t>
  </si>
  <si>
    <t>Limits</t>
  </si>
  <si>
    <t>A ratio still scales the premium with the model's electricity price over time; a fixed real-dollar adder would be the cleaner model form (not this cycle). The model prices 100% of a no-home-access PEV's kWh at this public price; NREL's 2030 National Charging Network puts non-home energy at ~60% DC fast / 40% workplace or public Level 2.</t>
  </si>
  <si>
    <t>Michigan</t>
  </si>
  <si>
    <t>MI</t>
  </si>
  <si>
    <t>Refresh</t>
  </si>
  <si>
    <t>Replace the two source CSVs in state-data-forecast outputs/RoPCCtPCC/sources/, update the dates in the builder, run `build` then `deploy --dest &lt;state-eps-data&gt;`, review git status (96 files), commit in state-eps-data, rerun the states.</t>
  </si>
  <si>
    <t>Minnesota</t>
  </si>
  <si>
    <t>MN</t>
  </si>
  <si>
    <t>Builder</t>
  </si>
  <si>
    <t>state-data-forecast outputs/RoPCCtPCC/_build_ropcctpcc_states.py; method note docs/methodology/RoPCCtPCC.md.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</si>
  <si>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</si>
  <si>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</si>
  <si>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</si>
  <si>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</si>
  <si>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</si>
  <si>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</si>
  <si>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</si>
  <si>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</si>
  <si>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</si>
  <si>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</si>
  <si>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</si>
  <si>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</si>
  <si>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</si>
  <si>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</si>
  <si>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</si>
  <si>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</si>
  <si>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</si>
  <si>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</si>
  <si>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</si>
  <si>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</si>
  <si>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</si>
  <si>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</si>
  <si>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</si>
  <si>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</si>
  <si>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</si>
  <si>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</si>
  <si>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</si>
  <si>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</si>
  <si>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</si>
  <si>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</si>
  <si>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</si>
  <si>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</si>
  <si>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</si>
  <si>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</si>
  <si>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</si>
  <si>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</si>
  <si>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</si>
  <si>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</si>
  <si>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</si>
  <si>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</si>
  <si>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</si>
  <si>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</si>
  <si>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</si>
  <si>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</si>
  <si>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</si>
  <si>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</si>
  <si>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</si>
  <si>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</si>
  <si>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</si>
  <si>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</si>
  <si>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</si>
  <si>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</si>
  <si>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</si>
  <si>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United States</t>
  </si>
  <si>
    <t>US</t>
  </si>
  <si>
    <t>Keys - editable parameters referenced by Calcs and Checks</t>
  </si>
  <si>
    <t>Parameter</t>
  </si>
  <si>
    <t>Value</t>
  </si>
  <si>
    <t>Used by</t>
  </si>
  <si>
    <t>Cents per dollar (EIA residential prices are published in cents/kWh)</t>
  </si>
  <si>
    <t>Calcs column C divides by this</t>
  </si>
  <si>
    <t>National row code in the source tabs</t>
  </si>
  <si>
    <t>Calcs Section 2 national reference; last row of each source tab</t>
  </si>
  <si>
    <t>Lowest plausible public/residential ratio</t>
  </si>
  <si>
    <t>Checks: a ratio below this means a bad price in a source tab</t>
  </si>
  <si>
    <t>Highest plausible public/residential ratio</t>
  </si>
  <si>
    <t>Checks: a ratio above this means a bad price in a source tab</t>
  </si>
  <si>
    <t>Tolerance for the output-equals-Calcs identity</t>
  </si>
  <si>
    <t>Checks row 8</t>
  </si>
  <si>
    <t>Minimum acceptable public premium (public minus residential), $/kWh</t>
  </si>
  <si>
    <t>Checks row 7: adders at or below this are flagged</t>
  </si>
  <si>
    <t>AAA Fuel Prices - EV Charging Prices, state daily average per kWh for all commercial/public charging, read 9/14/2026. Pasted verbatim from sources/aaa-ev-charging-price-by-state-2026-09-14.csv (last row US = national).</t>
  </si>
  <si>
    <t>state</t>
  </si>
  <si>
    <t>public_charging_price_usd_per_kwh</t>
  </si>
  <si>
    <t>DC</t>
  </si>
  <si>
    <t>EIA Electric Power Monthly Table 5.6.A, average residential price, June 2026 (preliminary), cents per kWh. Pasted verbatim from sources/eia-epm-table-5-6-a-residential-price-2026-06.csv (last row US = national).</t>
  </si>
  <si>
    <t>residential_price_cents_per_kwh</t>
  </si>
  <si>
    <t>Section 1 - Public / private charging cost ratio for every state</t>
  </si>
  <si>
    <t>What is the public charging price relative to the residential price in each state? Column D is the answer the output tab uses (for the state selected on About). Columns B-C are looked up from the two source tabs; E is the same premium as an adder, for comparison only.</t>
  </si>
  <si>
    <t>State</t>
  </si>
  <si>
    <t>Public charging price
AAA, $/kWh</t>
  </si>
  <si>
    <t>Residential price
EIA, $/kWh (from cents)</t>
  </si>
  <si>
    <t>RATIO USED IN THE OUTPUT FILE
public / residential</t>
  </si>
  <si>
    <t>Premium as an adder
public - residential, $/kWh</t>
  </si>
  <si>
    <t>State name</t>
  </si>
  <si>
    <t>Section 2 - National reference (the single constant this workbook used before 2026-09-14)</t>
  </si>
  <si>
    <t>Kept for comparison only; nothing downstream reads it.</t>
  </si>
  <si>
    <t>EIA average residential price, 2025 ($/kWh)</t>
  </si>
  <si>
    <t>AAA average commercial/public charging price as of 4/15/2026 ($/kWh)</t>
  </si>
  <si>
    <t>National ratio, public / residential (was RoPCCtPCC for every state)</t>
  </si>
  <si>
    <t>National ratio from the current source tabs (US rows)</t>
  </si>
  <si>
    <t>Section 3 - Selected state (About!B1) - READ BY THE OUTPUT TAB</t>
  </si>
  <si>
    <t>Selected state</t>
  </si>
  <si>
    <t>Public charging price, $/kWh</t>
  </si>
  <si>
    <t>Residential price, $/kWh</t>
  </si>
  <si>
    <t>RATIO USED IN THE OUTPUT FILE</t>
  </si>
  <si>
    <t>Checks - every row should read PASS</t>
  </si>
  <si>
    <t>Check (what it tests, and which value is bad)</t>
  </si>
  <si>
    <t>PASS/FAIL</t>
  </si>
  <si>
    <t>Selected state on About!B1 is found in the state table (FAIL = typo or a state not in the sources)</t>
  </si>
  <si>
    <t>Selected state's ratio is between 1 and 5 (a ratio below 1 or above 5 means a bad price in a source tab)</t>
  </si>
  <si>
    <t>Every state's ratio is between 1 and 5: count of states outside the range (0 = PASS)</t>
  </si>
  <si>
    <t>Every state's public price exceeds its residential price: count of non-positive adders (0 = PASS)</t>
  </si>
  <si>
    <t>Output tab value equals the selected state's Calcs ratio (0 = PASS)</t>
  </si>
  <si>
    <t>Ratio(Private/Public)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</si>
</sst>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/>
    <xf numFmtId="0" fontId="3" fillId="3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ia.gov/electricity/monthly/epm_table_grapher.php?t=epmt_5_6_a" TargetMode="External"/><Relationship Id="rId1" Type="http://schemas.openxmlformats.org/officeDocument/2006/relationships/hyperlink" Target="https://gasprices.aaa.com/ev-charging-pri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/>
  </sheetViews>
  <sheetFormatPr defaultRowHeight="14.4" x14ac:dyDescent="0.3"/>
  <cols>
    <col min="1" max="1" width="14" customWidth="1"/>
    <col min="2" max="2" width="110" customWidth="1"/>
    <col min="6" max="6" width="18" customWidth="1"/>
  </cols>
  <sheetData>
    <row r="1" spans="1:7" x14ac:dyDescent="0.3">
      <c r="A1" s="1" t="s">
        <v>0</v>
      </c>
      <c r="B1" s="1" t="s">
        <v>1</v>
      </c>
      <c r="C1" s="2">
        <v>46279</v>
      </c>
      <c r="F1" t="s">
        <v>2</v>
      </c>
      <c r="G1" t="s">
        <v>3</v>
      </c>
    </row>
    <row r="2" spans="1:7" x14ac:dyDescent="0.3">
      <c r="B2" t="str">
        <f>VLOOKUP($B$1,$F$1:$G$51,2,FALSE)</f>
        <v>UT</v>
      </c>
      <c r="F2" t="s">
        <v>4</v>
      </c>
      <c r="G2" t="s">
        <v>5</v>
      </c>
    </row>
    <row r="3" spans="1:7" x14ac:dyDescent="0.3">
      <c r="A3" s="1" t="s">
        <v>6</v>
      </c>
      <c r="B3" s="3" t="s">
        <v>7</v>
      </c>
      <c r="F3" t="s">
        <v>8</v>
      </c>
      <c r="G3" t="s">
        <v>9</v>
      </c>
    </row>
    <row r="4" spans="1:7" x14ac:dyDescent="0.3">
      <c r="B4" s="4" t="s">
        <v>10</v>
      </c>
      <c r="F4" t="s">
        <v>11</v>
      </c>
      <c r="G4" t="s">
        <v>12</v>
      </c>
    </row>
    <row r="5" spans="1:7" x14ac:dyDescent="0.3">
      <c r="B5" s="4" t="s">
        <v>13</v>
      </c>
      <c r="F5" t="s">
        <v>14</v>
      </c>
      <c r="G5" t="s">
        <v>15</v>
      </c>
    </row>
    <row r="6" spans="1:7" x14ac:dyDescent="0.3">
      <c r="B6" s="4">
        <v>2026</v>
      </c>
      <c r="F6" t="s">
        <v>16</v>
      </c>
      <c r="G6" t="s">
        <v>17</v>
      </c>
    </row>
    <row r="7" spans="1:7" x14ac:dyDescent="0.3">
      <c r="B7" s="5" t="s">
        <v>18</v>
      </c>
      <c r="F7" t="s">
        <v>19</v>
      </c>
      <c r="G7" t="s">
        <v>20</v>
      </c>
    </row>
    <row r="8" spans="1:7" ht="86.4" customHeight="1" x14ac:dyDescent="0.3">
      <c r="B8" s="4" t="s">
        <v>21</v>
      </c>
      <c r="F8" t="s">
        <v>22</v>
      </c>
      <c r="G8" t="s">
        <v>23</v>
      </c>
    </row>
    <row r="9" spans="1:7" x14ac:dyDescent="0.3">
      <c r="F9" t="s">
        <v>24</v>
      </c>
      <c r="G9" t="s">
        <v>25</v>
      </c>
    </row>
    <row r="10" spans="1:7" x14ac:dyDescent="0.3">
      <c r="B10" s="3" t="s">
        <v>26</v>
      </c>
      <c r="F10" t="s">
        <v>27</v>
      </c>
      <c r="G10" t="s">
        <v>28</v>
      </c>
    </row>
    <row r="11" spans="1:7" x14ac:dyDescent="0.3">
      <c r="B11" s="4" t="s">
        <v>29</v>
      </c>
      <c r="F11" t="s">
        <v>30</v>
      </c>
      <c r="G11" t="s">
        <v>31</v>
      </c>
    </row>
    <row r="12" spans="1:7" x14ac:dyDescent="0.3">
      <c r="B12" s="4" t="s">
        <v>32</v>
      </c>
      <c r="F12" t="s">
        <v>33</v>
      </c>
      <c r="G12" t="s">
        <v>34</v>
      </c>
    </row>
    <row r="13" spans="1:7" x14ac:dyDescent="0.3">
      <c r="B13" s="4">
        <v>2026</v>
      </c>
      <c r="F13" t="s">
        <v>35</v>
      </c>
      <c r="G13" t="s">
        <v>36</v>
      </c>
    </row>
    <row r="14" spans="1:7" x14ac:dyDescent="0.3">
      <c r="B14" s="5" t="s">
        <v>37</v>
      </c>
      <c r="F14" t="s">
        <v>38</v>
      </c>
      <c r="G14" t="s">
        <v>39</v>
      </c>
    </row>
    <row r="15" spans="1:7" ht="57.6" customHeight="1" x14ac:dyDescent="0.3">
      <c r="B15" s="4" t="s">
        <v>40</v>
      </c>
      <c r="F15" t="s">
        <v>41</v>
      </c>
      <c r="G15" t="s">
        <v>42</v>
      </c>
    </row>
    <row r="16" spans="1:7" x14ac:dyDescent="0.3">
      <c r="F16" t="s">
        <v>43</v>
      </c>
      <c r="G16" t="s">
        <v>44</v>
      </c>
    </row>
    <row r="17" spans="1:7" x14ac:dyDescent="0.3">
      <c r="F17" t="s">
        <v>45</v>
      </c>
      <c r="G17" t="s">
        <v>46</v>
      </c>
    </row>
    <row r="18" spans="1:7" x14ac:dyDescent="0.3">
      <c r="A18" s="1" t="s">
        <v>47</v>
      </c>
      <c r="F18" t="s">
        <v>48</v>
      </c>
      <c r="G18" t="s">
        <v>49</v>
      </c>
    </row>
    <row r="19" spans="1:7" ht="43.2" customHeight="1" x14ac:dyDescent="0.3">
      <c r="A19" s="1" t="s">
        <v>50</v>
      </c>
      <c r="B19" s="4" t="s">
        <v>51</v>
      </c>
      <c r="F19" t="s">
        <v>52</v>
      </c>
      <c r="G19" t="s">
        <v>53</v>
      </c>
    </row>
    <row r="20" spans="1:7" ht="43.2" customHeight="1" x14ac:dyDescent="0.3">
      <c r="A20" s="1" t="s">
        <v>54</v>
      </c>
      <c r="B20" s="4" t="s">
        <v>55</v>
      </c>
      <c r="F20" t="s">
        <v>56</v>
      </c>
      <c r="G20" t="s">
        <v>57</v>
      </c>
    </row>
    <row r="21" spans="1:7" ht="72" customHeight="1" x14ac:dyDescent="0.3">
      <c r="A21" s="1" t="s">
        <v>58</v>
      </c>
      <c r="B21" s="4" t="s">
        <v>59</v>
      </c>
      <c r="F21" t="s">
        <v>60</v>
      </c>
      <c r="G21" t="s">
        <v>61</v>
      </c>
    </row>
    <row r="22" spans="1:7" ht="43.2" customHeight="1" x14ac:dyDescent="0.3">
      <c r="A22" s="1" t="s">
        <v>62</v>
      </c>
      <c r="B22" s="4" t="s">
        <v>63</v>
      </c>
      <c r="F22" t="s">
        <v>64</v>
      </c>
      <c r="G22" t="s">
        <v>65</v>
      </c>
    </row>
    <row r="23" spans="1:7" ht="28.8" customHeight="1" x14ac:dyDescent="0.3">
      <c r="A23" s="1" t="s">
        <v>66</v>
      </c>
      <c r="B23" s="4" t="s">
        <v>67</v>
      </c>
      <c r="F23" t="s">
        <v>68</v>
      </c>
      <c r="G23" t="s">
        <v>69</v>
      </c>
    </row>
    <row r="24" spans="1:7" x14ac:dyDescent="0.3">
      <c r="A24" s="1" t="s">
        <v>70</v>
      </c>
      <c r="B24" s="4" t="s">
        <v>71</v>
      </c>
      <c r="F24" t="s">
        <v>72</v>
      </c>
      <c r="G24" t="s">
        <v>73</v>
      </c>
    </row>
    <row r="25" spans="1:7" x14ac:dyDescent="0.3">
      <c r="F25" t="s">
        <v>74</v>
      </c>
      <c r="G25" t="s">
        <v>75</v>
      </c>
    </row>
    <row r="26" spans="1:7" x14ac:dyDescent="0.3">
      <c r="F26" t="s">
        <v>76</v>
      </c>
      <c r="G26" t="s">
        <v>77</v>
      </c>
    </row>
    <row r="27" spans="1:7" x14ac:dyDescent="0.3">
      <c r="F27" t="s">
        <v>78</v>
      </c>
      <c r="G27" t="s">
        <v>79</v>
      </c>
    </row>
    <row r="28" spans="1:7" x14ac:dyDescent="0.3">
      <c r="F28" t="s">
        <v>80</v>
      </c>
      <c r="G28" t="s">
        <v>81</v>
      </c>
    </row>
    <row r="29" spans="1:7" x14ac:dyDescent="0.3">
      <c r="F29" t="s">
        <v>82</v>
      </c>
      <c r="G29" t="s">
        <v>83</v>
      </c>
    </row>
    <row r="30" spans="1:7" x14ac:dyDescent="0.3">
      <c r="F30" t="s">
        <v>84</v>
      </c>
      <c r="G30" t="s">
        <v>85</v>
      </c>
    </row>
    <row r="31" spans="1:7" x14ac:dyDescent="0.3">
      <c r="F31" t="s">
        <v>86</v>
      </c>
      <c r="G31" t="s">
        <v>87</v>
      </c>
    </row>
    <row r="32" spans="1:7" x14ac:dyDescent="0.3">
      <c r="F32" t="s">
        <v>88</v>
      </c>
      <c r="G32" t="s">
        <v>89</v>
      </c>
    </row>
    <row r="33" spans="6:7" x14ac:dyDescent="0.3">
      <c r="F33" t="s">
        <v>90</v>
      </c>
      <c r="G33" t="s">
        <v>91</v>
      </c>
    </row>
    <row r="34" spans="6:7" x14ac:dyDescent="0.3">
      <c r="F34" t="s">
        <v>92</v>
      </c>
      <c r="G34" t="s">
        <v>93</v>
      </c>
    </row>
    <row r="35" spans="6:7" x14ac:dyDescent="0.3">
      <c r="F35" t="s">
        <v>94</v>
      </c>
      <c r="G35" t="s">
        <v>95</v>
      </c>
    </row>
    <row r="36" spans="6:7" x14ac:dyDescent="0.3">
      <c r="F36" t="s">
        <v>96</v>
      </c>
      <c r="G36" t="s">
        <v>97</v>
      </c>
    </row>
    <row r="37" spans="6:7" x14ac:dyDescent="0.3">
      <c r="F37" t="s">
        <v>98</v>
      </c>
      <c r="G37" t="s">
        <v>99</v>
      </c>
    </row>
    <row r="38" spans="6:7" x14ac:dyDescent="0.3">
      <c r="F38" t="s">
        <v>100</v>
      </c>
      <c r="G38" t="s">
        <v>101</v>
      </c>
    </row>
    <row r="39" spans="6:7" x14ac:dyDescent="0.3">
      <c r="F39" t="s">
        <v>102</v>
      </c>
      <c r="G39" t="s">
        <v>103</v>
      </c>
    </row>
    <row r="40" spans="6:7" x14ac:dyDescent="0.3">
      <c r="F40" t="s">
        <v>104</v>
      </c>
      <c r="G40" t="s">
        <v>105</v>
      </c>
    </row>
    <row r="41" spans="6:7" x14ac:dyDescent="0.3">
      <c r="F41" t="s">
        <v>106</v>
      </c>
      <c r="G41" t="s">
        <v>107</v>
      </c>
    </row>
    <row r="42" spans="6:7" x14ac:dyDescent="0.3">
      <c r="F42" t="s">
        <v>108</v>
      </c>
      <c r="G42" t="s">
        <v>109</v>
      </c>
    </row>
    <row r="43" spans="6:7" x14ac:dyDescent="0.3">
      <c r="F43" t="s">
        <v>110</v>
      </c>
      <c r="G43" t="s">
        <v>111</v>
      </c>
    </row>
    <row r="44" spans="6:7" x14ac:dyDescent="0.3">
      <c r="F44" t="s">
        <v>1</v>
      </c>
      <c r="G44" t="s">
        <v>112</v>
      </c>
    </row>
    <row r="45" spans="6:7" x14ac:dyDescent="0.3">
      <c r="F45" t="s">
        <v>113</v>
      </c>
      <c r="G45" t="s">
        <v>114</v>
      </c>
    </row>
    <row r="46" spans="6:7" x14ac:dyDescent="0.3">
      <c r="F46" t="s">
        <v>115</v>
      </c>
      <c r="G46" t="s">
        <v>116</v>
      </c>
    </row>
    <row r="47" spans="6:7" x14ac:dyDescent="0.3">
      <c r="F47" t="s">
        <v>117</v>
      </c>
      <c r="G47" t="s">
        <v>118</v>
      </c>
    </row>
    <row r="48" spans="6:7" x14ac:dyDescent="0.3">
      <c r="F48" t="s">
        <v>119</v>
      </c>
      <c r="G48" t="s">
        <v>120</v>
      </c>
    </row>
    <row r="49" spans="6:7" x14ac:dyDescent="0.3">
      <c r="F49" t="s">
        <v>121</v>
      </c>
      <c r="G49" t="s">
        <v>122</v>
      </c>
    </row>
    <row r="50" spans="6:7" x14ac:dyDescent="0.3">
      <c r="F50" t="s">
        <v>123</v>
      </c>
      <c r="G50" t="s">
        <v>124</v>
      </c>
    </row>
    <row r="51" spans="6:7" x14ac:dyDescent="0.3">
      <c r="F51" t="s">
        <v>125</v>
      </c>
      <c r="G51" t="s">
        <v>126</v>
      </c>
    </row>
  </sheetData>
  <dataValidations count="1">
    <dataValidation type="list" sqref="B1" xr:uid="{00000000-0002-0000-0000-000000000000}">
      <formula1>$F$1:$F$51</formula1>
    </dataValidation>
  </dataValidations>
  <hyperlinks>
    <hyperlink ref="B7" r:id="rId1" xr:uid="{00000000-0004-0000-0000-000000000000}"/>
    <hyperlink ref="B14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4.4" x14ac:dyDescent="0.3"/>
  <cols>
    <col min="1" max="1" width="58" customWidth="1"/>
    <col min="2" max="2" width="16" customWidth="1"/>
    <col min="3" max="3" width="70" customWidth="1"/>
  </cols>
  <sheetData>
    <row r="1" spans="1:3" x14ac:dyDescent="0.3">
      <c r="A1" s="1" t="s">
        <v>127</v>
      </c>
    </row>
    <row r="3" spans="1:3" x14ac:dyDescent="0.3">
      <c r="A3" s="6" t="s">
        <v>128</v>
      </c>
      <c r="B3" s="6" t="s">
        <v>129</v>
      </c>
      <c r="C3" s="6" t="s">
        <v>130</v>
      </c>
    </row>
    <row r="4" spans="1:3" x14ac:dyDescent="0.3">
      <c r="A4" s="4" t="s">
        <v>131</v>
      </c>
      <c r="B4">
        <v>100</v>
      </c>
      <c r="C4" s="4" t="s">
        <v>132</v>
      </c>
    </row>
    <row r="5" spans="1:3" x14ac:dyDescent="0.3">
      <c r="A5" s="4" t="s">
        <v>133</v>
      </c>
      <c r="B5" t="s">
        <v>126</v>
      </c>
      <c r="C5" s="4" t="s">
        <v>134</v>
      </c>
    </row>
    <row r="6" spans="1:3" x14ac:dyDescent="0.3">
      <c r="A6" s="4" t="s">
        <v>135</v>
      </c>
      <c r="B6">
        <v>1</v>
      </c>
      <c r="C6" s="4" t="s">
        <v>136</v>
      </c>
    </row>
    <row r="7" spans="1:3" x14ac:dyDescent="0.3">
      <c r="A7" s="4" t="s">
        <v>137</v>
      </c>
      <c r="B7">
        <v>5</v>
      </c>
      <c r="C7" s="4" t="s">
        <v>138</v>
      </c>
    </row>
    <row r="8" spans="1:3" x14ac:dyDescent="0.3">
      <c r="A8" s="4" t="s">
        <v>139</v>
      </c>
      <c r="B8">
        <v>9.9999999999999998E-13</v>
      </c>
      <c r="C8" s="4" t="s">
        <v>140</v>
      </c>
    </row>
    <row r="9" spans="1:3" ht="28.8" customHeight="1" x14ac:dyDescent="0.3">
      <c r="A9" s="4" t="s">
        <v>141</v>
      </c>
      <c r="B9">
        <v>0</v>
      </c>
      <c r="C9" s="4" t="s">
        <v>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16.8" customHeight="1" x14ac:dyDescent="0.3">
      <c r="A1" s="4" t="s">
        <v>143</v>
      </c>
    </row>
    <row r="3" spans="1:2" x14ac:dyDescent="0.3">
      <c r="A3" s="6" t="s">
        <v>144</v>
      </c>
      <c r="B3" s="6" t="s">
        <v>145</v>
      </c>
    </row>
    <row r="4" spans="1:2" x14ac:dyDescent="0.3">
      <c r="A4" t="s">
        <v>5</v>
      </c>
      <c r="B4">
        <v>0.47599999999999998</v>
      </c>
    </row>
    <row r="5" spans="1:2" x14ac:dyDescent="0.3">
      <c r="A5" t="s">
        <v>3</v>
      </c>
      <c r="B5">
        <v>0.41699999999999998</v>
      </c>
    </row>
    <row r="6" spans="1:2" x14ac:dyDescent="0.3">
      <c r="A6" t="s">
        <v>12</v>
      </c>
      <c r="B6">
        <v>0.44800000000000001</v>
      </c>
    </row>
    <row r="7" spans="1:2" x14ac:dyDescent="0.3">
      <c r="A7" t="s">
        <v>9</v>
      </c>
      <c r="B7">
        <v>0.443</v>
      </c>
    </row>
    <row r="8" spans="1:2" x14ac:dyDescent="0.3">
      <c r="A8" t="s">
        <v>15</v>
      </c>
      <c r="B8">
        <v>0.47699999999999998</v>
      </c>
    </row>
    <row r="9" spans="1:2" x14ac:dyDescent="0.3">
      <c r="A9" t="s">
        <v>17</v>
      </c>
      <c r="B9">
        <v>0.38600000000000001</v>
      </c>
    </row>
    <row r="10" spans="1:2" x14ac:dyDescent="0.3">
      <c r="A10" t="s">
        <v>20</v>
      </c>
      <c r="B10">
        <v>0.39900000000000002</v>
      </c>
    </row>
    <row r="11" spans="1:2" x14ac:dyDescent="0.3">
      <c r="A11" t="s">
        <v>146</v>
      </c>
      <c r="B11">
        <v>0.39600000000000002</v>
      </c>
    </row>
    <row r="12" spans="1:2" x14ac:dyDescent="0.3">
      <c r="A12" t="s">
        <v>23</v>
      </c>
      <c r="B12">
        <v>0.38100000000000001</v>
      </c>
    </row>
    <row r="13" spans="1:2" x14ac:dyDescent="0.3">
      <c r="A13" t="s">
        <v>25</v>
      </c>
      <c r="B13">
        <v>0.41399999999999998</v>
      </c>
    </row>
    <row r="14" spans="1:2" x14ac:dyDescent="0.3">
      <c r="A14" t="s">
        <v>28</v>
      </c>
      <c r="B14">
        <v>0.41299999999999998</v>
      </c>
    </row>
    <row r="15" spans="1:2" x14ac:dyDescent="0.3">
      <c r="A15" t="s">
        <v>31</v>
      </c>
      <c r="B15">
        <v>0.53300000000000003</v>
      </c>
    </row>
    <row r="16" spans="1:2" x14ac:dyDescent="0.3">
      <c r="A16" t="s">
        <v>42</v>
      </c>
      <c r="B16">
        <v>0.33500000000000002</v>
      </c>
    </row>
    <row r="17" spans="1:2" x14ac:dyDescent="0.3">
      <c r="A17" t="s">
        <v>34</v>
      </c>
      <c r="B17">
        <v>0.42499999999999999</v>
      </c>
    </row>
    <row r="18" spans="1:2" x14ac:dyDescent="0.3">
      <c r="A18" t="s">
        <v>36</v>
      </c>
      <c r="B18">
        <v>0.45400000000000001</v>
      </c>
    </row>
    <row r="19" spans="1:2" x14ac:dyDescent="0.3">
      <c r="A19" t="s">
        <v>39</v>
      </c>
      <c r="B19">
        <v>0.42899999999999999</v>
      </c>
    </row>
    <row r="20" spans="1:2" x14ac:dyDescent="0.3">
      <c r="A20" t="s">
        <v>44</v>
      </c>
      <c r="B20">
        <v>0.318</v>
      </c>
    </row>
    <row r="21" spans="1:2" x14ac:dyDescent="0.3">
      <c r="A21" t="s">
        <v>46</v>
      </c>
      <c r="B21">
        <v>0.41399999999999998</v>
      </c>
    </row>
    <row r="22" spans="1:2" x14ac:dyDescent="0.3">
      <c r="A22" t="s">
        <v>49</v>
      </c>
      <c r="B22">
        <v>0.47899999999999998</v>
      </c>
    </row>
    <row r="23" spans="1:2" x14ac:dyDescent="0.3">
      <c r="A23" t="s">
        <v>61</v>
      </c>
      <c r="B23">
        <v>0.39400000000000002</v>
      </c>
    </row>
    <row r="24" spans="1:2" x14ac:dyDescent="0.3">
      <c r="A24" t="s">
        <v>57</v>
      </c>
      <c r="B24">
        <v>0.34899999999999998</v>
      </c>
    </row>
    <row r="25" spans="1:2" x14ac:dyDescent="0.3">
      <c r="A25" t="s">
        <v>53</v>
      </c>
      <c r="B25">
        <v>0.41</v>
      </c>
    </row>
    <row r="26" spans="1:2" x14ac:dyDescent="0.3">
      <c r="A26" t="s">
        <v>65</v>
      </c>
      <c r="B26">
        <v>0.4</v>
      </c>
    </row>
    <row r="27" spans="1:2" x14ac:dyDescent="0.3">
      <c r="A27" t="s">
        <v>69</v>
      </c>
      <c r="B27">
        <v>0.373</v>
      </c>
    </row>
    <row r="28" spans="1:2" x14ac:dyDescent="0.3">
      <c r="A28" t="s">
        <v>75</v>
      </c>
      <c r="B28">
        <v>0.32900000000000001</v>
      </c>
    </row>
    <row r="29" spans="1:2" x14ac:dyDescent="0.3">
      <c r="A29" t="s">
        <v>73</v>
      </c>
      <c r="B29">
        <v>0.42299999999999999</v>
      </c>
    </row>
    <row r="30" spans="1:2" x14ac:dyDescent="0.3">
      <c r="A30" t="s">
        <v>77</v>
      </c>
      <c r="B30">
        <v>0.42299999999999999</v>
      </c>
    </row>
    <row r="31" spans="1:2" x14ac:dyDescent="0.3">
      <c r="A31" t="s">
        <v>91</v>
      </c>
      <c r="B31">
        <v>0.41199999999999998</v>
      </c>
    </row>
    <row r="32" spans="1:2" x14ac:dyDescent="0.3">
      <c r="A32" t="s">
        <v>93</v>
      </c>
      <c r="B32">
        <v>0.44800000000000001</v>
      </c>
    </row>
    <row r="33" spans="1:2" x14ac:dyDescent="0.3">
      <c r="A33" t="s">
        <v>79</v>
      </c>
      <c r="B33">
        <v>0.34200000000000003</v>
      </c>
    </row>
    <row r="34" spans="1:2" x14ac:dyDescent="0.3">
      <c r="A34" t="s">
        <v>83</v>
      </c>
      <c r="B34">
        <v>0.47099999999999997</v>
      </c>
    </row>
    <row r="35" spans="1:2" x14ac:dyDescent="0.3">
      <c r="A35" t="s">
        <v>85</v>
      </c>
      <c r="B35">
        <v>0.45500000000000002</v>
      </c>
    </row>
    <row r="36" spans="1:2" x14ac:dyDescent="0.3">
      <c r="A36" t="s">
        <v>87</v>
      </c>
      <c r="B36">
        <v>0.38200000000000001</v>
      </c>
    </row>
    <row r="37" spans="1:2" x14ac:dyDescent="0.3">
      <c r="A37" t="s">
        <v>81</v>
      </c>
      <c r="B37">
        <v>0.42799999999999999</v>
      </c>
    </row>
    <row r="38" spans="1:2" x14ac:dyDescent="0.3">
      <c r="A38" t="s">
        <v>89</v>
      </c>
      <c r="B38">
        <v>0.40600000000000003</v>
      </c>
    </row>
    <row r="39" spans="1:2" x14ac:dyDescent="0.3">
      <c r="A39" t="s">
        <v>95</v>
      </c>
      <c r="B39">
        <v>0.43</v>
      </c>
    </row>
    <row r="40" spans="1:2" x14ac:dyDescent="0.3">
      <c r="A40" t="s">
        <v>97</v>
      </c>
      <c r="B40">
        <v>0.42399999999999999</v>
      </c>
    </row>
    <row r="41" spans="1:2" x14ac:dyDescent="0.3">
      <c r="A41" t="s">
        <v>99</v>
      </c>
      <c r="B41">
        <v>0.39900000000000002</v>
      </c>
    </row>
    <row r="42" spans="1:2" x14ac:dyDescent="0.3">
      <c r="A42" t="s">
        <v>101</v>
      </c>
      <c r="B42">
        <v>0.42299999999999999</v>
      </c>
    </row>
    <row r="43" spans="1:2" x14ac:dyDescent="0.3">
      <c r="A43" t="s">
        <v>103</v>
      </c>
      <c r="B43">
        <v>0.40100000000000002</v>
      </c>
    </row>
    <row r="44" spans="1:2" x14ac:dyDescent="0.3">
      <c r="A44" t="s">
        <v>105</v>
      </c>
      <c r="B44">
        <v>0.43</v>
      </c>
    </row>
    <row r="45" spans="1:2" x14ac:dyDescent="0.3">
      <c r="A45" t="s">
        <v>107</v>
      </c>
      <c r="B45">
        <v>0.35099999999999998</v>
      </c>
    </row>
    <row r="46" spans="1:2" x14ac:dyDescent="0.3">
      <c r="A46" t="s">
        <v>109</v>
      </c>
      <c r="B46">
        <v>0.42499999999999999</v>
      </c>
    </row>
    <row r="47" spans="1:2" x14ac:dyDescent="0.3">
      <c r="A47" t="s">
        <v>111</v>
      </c>
      <c r="B47">
        <v>0.42699999999999999</v>
      </c>
    </row>
    <row r="48" spans="1:2" x14ac:dyDescent="0.3">
      <c r="A48" t="s">
        <v>112</v>
      </c>
      <c r="B48">
        <v>0.34599999999999997</v>
      </c>
    </row>
    <row r="49" spans="1:2" x14ac:dyDescent="0.3">
      <c r="A49" t="s">
        <v>116</v>
      </c>
      <c r="B49">
        <v>0.43</v>
      </c>
    </row>
    <row r="50" spans="1:2" x14ac:dyDescent="0.3">
      <c r="A50" t="s">
        <v>114</v>
      </c>
      <c r="B50">
        <v>0.35899999999999999</v>
      </c>
    </row>
    <row r="51" spans="1:2" x14ac:dyDescent="0.3">
      <c r="A51" t="s">
        <v>118</v>
      </c>
      <c r="B51">
        <v>0.39400000000000002</v>
      </c>
    </row>
    <row r="52" spans="1:2" x14ac:dyDescent="0.3">
      <c r="A52" t="s">
        <v>122</v>
      </c>
      <c r="B52">
        <v>0.42599999999999999</v>
      </c>
    </row>
    <row r="53" spans="1:2" x14ac:dyDescent="0.3">
      <c r="A53" t="s">
        <v>120</v>
      </c>
      <c r="B53">
        <v>0.52800000000000002</v>
      </c>
    </row>
    <row r="54" spans="1:2" x14ac:dyDescent="0.3">
      <c r="A54" t="s">
        <v>124</v>
      </c>
      <c r="B54">
        <v>0.442</v>
      </c>
    </row>
    <row r="55" spans="1:2" x14ac:dyDescent="0.3">
      <c r="A55" t="s">
        <v>126</v>
      </c>
      <c r="B55">
        <v>0.42399999999999999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02.39999999999998" customHeight="1" x14ac:dyDescent="0.3">
      <c r="A1" s="4" t="s">
        <v>147</v>
      </c>
    </row>
    <row r="3" spans="1:2" x14ac:dyDescent="0.3">
      <c r="A3" s="6" t="s">
        <v>144</v>
      </c>
      <c r="B3" s="6" t="s">
        <v>148</v>
      </c>
    </row>
    <row r="4" spans="1:2" x14ac:dyDescent="0.3">
      <c r="A4" t="s">
        <v>5</v>
      </c>
      <c r="B4">
        <v>28.21</v>
      </c>
    </row>
    <row r="5" spans="1:2" x14ac:dyDescent="0.3">
      <c r="A5" t="s">
        <v>3</v>
      </c>
      <c r="B5">
        <v>16.399999999999999</v>
      </c>
    </row>
    <row r="6" spans="1:2" x14ac:dyDescent="0.3">
      <c r="A6" t="s">
        <v>12</v>
      </c>
      <c r="B6">
        <v>14.12</v>
      </c>
    </row>
    <row r="7" spans="1:2" x14ac:dyDescent="0.3">
      <c r="A7" t="s">
        <v>9</v>
      </c>
      <c r="B7">
        <v>15.18</v>
      </c>
    </row>
    <row r="8" spans="1:2" x14ac:dyDescent="0.3">
      <c r="A8" t="s">
        <v>15</v>
      </c>
      <c r="B8">
        <v>34.74</v>
      </c>
    </row>
    <row r="9" spans="1:2" x14ac:dyDescent="0.3">
      <c r="A9" t="s">
        <v>17</v>
      </c>
      <c r="B9">
        <v>17.13</v>
      </c>
    </row>
    <row r="10" spans="1:2" x14ac:dyDescent="0.3">
      <c r="A10" t="s">
        <v>20</v>
      </c>
      <c r="B10">
        <v>24.32</v>
      </c>
    </row>
    <row r="11" spans="1:2" x14ac:dyDescent="0.3">
      <c r="A11" t="s">
        <v>146</v>
      </c>
      <c r="B11">
        <v>24.39</v>
      </c>
    </row>
    <row r="12" spans="1:2" x14ac:dyDescent="0.3">
      <c r="A12" t="s">
        <v>23</v>
      </c>
      <c r="B12">
        <v>19.29</v>
      </c>
    </row>
    <row r="13" spans="1:2" x14ac:dyDescent="0.3">
      <c r="A13" t="s">
        <v>25</v>
      </c>
      <c r="B13">
        <v>15.1</v>
      </c>
    </row>
    <row r="14" spans="1:2" x14ac:dyDescent="0.3">
      <c r="A14" t="s">
        <v>28</v>
      </c>
      <c r="B14">
        <v>16.36</v>
      </c>
    </row>
    <row r="15" spans="1:2" x14ac:dyDescent="0.3">
      <c r="A15" t="s">
        <v>31</v>
      </c>
      <c r="B15">
        <v>52.72</v>
      </c>
    </row>
    <row r="16" spans="1:2" x14ac:dyDescent="0.3">
      <c r="A16" t="s">
        <v>42</v>
      </c>
      <c r="B16">
        <v>15.93</v>
      </c>
    </row>
    <row r="17" spans="1:2" x14ac:dyDescent="0.3">
      <c r="A17" t="s">
        <v>34</v>
      </c>
      <c r="B17">
        <v>14.37</v>
      </c>
    </row>
    <row r="18" spans="1:2" x14ac:dyDescent="0.3">
      <c r="A18" t="s">
        <v>36</v>
      </c>
      <c r="B18">
        <v>19.89</v>
      </c>
    </row>
    <row r="19" spans="1:2" x14ac:dyDescent="0.3">
      <c r="A19" t="s">
        <v>39</v>
      </c>
      <c r="B19">
        <v>17.510000000000002</v>
      </c>
    </row>
    <row r="20" spans="1:2" x14ac:dyDescent="0.3">
      <c r="A20" t="s">
        <v>44</v>
      </c>
      <c r="B20">
        <v>15.71</v>
      </c>
    </row>
    <row r="21" spans="1:2" x14ac:dyDescent="0.3">
      <c r="A21" t="s">
        <v>46</v>
      </c>
      <c r="B21">
        <v>14.26</v>
      </c>
    </row>
    <row r="22" spans="1:2" x14ac:dyDescent="0.3">
      <c r="A22" t="s">
        <v>49</v>
      </c>
      <c r="B22">
        <v>13.49</v>
      </c>
    </row>
    <row r="23" spans="1:2" x14ac:dyDescent="0.3">
      <c r="A23" t="s">
        <v>61</v>
      </c>
      <c r="B23">
        <v>29.61</v>
      </c>
    </row>
    <row r="24" spans="1:2" x14ac:dyDescent="0.3">
      <c r="A24" t="s">
        <v>57</v>
      </c>
      <c r="B24">
        <v>21.84</v>
      </c>
    </row>
    <row r="25" spans="1:2" x14ac:dyDescent="0.3">
      <c r="A25" t="s">
        <v>53</v>
      </c>
      <c r="B25">
        <v>29.59</v>
      </c>
    </row>
    <row r="26" spans="1:2" x14ac:dyDescent="0.3">
      <c r="A26" t="s">
        <v>65</v>
      </c>
      <c r="B26">
        <v>22.99</v>
      </c>
    </row>
    <row r="27" spans="1:2" x14ac:dyDescent="0.3">
      <c r="A27" t="s">
        <v>69</v>
      </c>
      <c r="B27">
        <v>17.52</v>
      </c>
    </row>
    <row r="28" spans="1:2" x14ac:dyDescent="0.3">
      <c r="A28" t="s">
        <v>75</v>
      </c>
      <c r="B28">
        <v>16.22</v>
      </c>
    </row>
    <row r="29" spans="1:2" x14ac:dyDescent="0.3">
      <c r="A29" t="s">
        <v>73</v>
      </c>
      <c r="B29">
        <v>14.88</v>
      </c>
    </row>
    <row r="30" spans="1:2" x14ac:dyDescent="0.3">
      <c r="A30" t="s">
        <v>77</v>
      </c>
      <c r="B30">
        <v>15.14</v>
      </c>
    </row>
    <row r="31" spans="1:2" x14ac:dyDescent="0.3">
      <c r="A31" t="s">
        <v>91</v>
      </c>
      <c r="B31">
        <v>14.74</v>
      </c>
    </row>
    <row r="32" spans="1:2" x14ac:dyDescent="0.3">
      <c r="A32" t="s">
        <v>93</v>
      </c>
      <c r="B32">
        <v>14.12</v>
      </c>
    </row>
    <row r="33" spans="1:2" x14ac:dyDescent="0.3">
      <c r="A33" t="s">
        <v>79</v>
      </c>
      <c r="B33">
        <v>13.25</v>
      </c>
    </row>
    <row r="34" spans="1:2" x14ac:dyDescent="0.3">
      <c r="A34" t="s">
        <v>83</v>
      </c>
      <c r="B34">
        <v>27.01</v>
      </c>
    </row>
    <row r="35" spans="1:2" x14ac:dyDescent="0.3">
      <c r="A35" t="s">
        <v>85</v>
      </c>
      <c r="B35">
        <v>24.95</v>
      </c>
    </row>
    <row r="36" spans="1:2" x14ac:dyDescent="0.3">
      <c r="A36" t="s">
        <v>87</v>
      </c>
      <c r="B36">
        <v>15.06</v>
      </c>
    </row>
    <row r="37" spans="1:2" x14ac:dyDescent="0.3">
      <c r="A37" t="s">
        <v>81</v>
      </c>
      <c r="B37">
        <v>13.11</v>
      </c>
    </row>
    <row r="38" spans="1:2" x14ac:dyDescent="0.3">
      <c r="A38" t="s">
        <v>89</v>
      </c>
      <c r="B38">
        <v>29.49</v>
      </c>
    </row>
    <row r="39" spans="1:2" x14ac:dyDescent="0.3">
      <c r="A39" t="s">
        <v>95</v>
      </c>
      <c r="B39">
        <v>19.190000000000001</v>
      </c>
    </row>
    <row r="40" spans="1:2" x14ac:dyDescent="0.3">
      <c r="A40" t="s">
        <v>97</v>
      </c>
      <c r="B40">
        <v>14.33</v>
      </c>
    </row>
    <row r="41" spans="1:2" x14ac:dyDescent="0.3">
      <c r="A41" t="s">
        <v>99</v>
      </c>
      <c r="B41">
        <v>16.32</v>
      </c>
    </row>
    <row r="42" spans="1:2" x14ac:dyDescent="0.3">
      <c r="A42" t="s">
        <v>101</v>
      </c>
      <c r="B42">
        <v>21.73</v>
      </c>
    </row>
    <row r="43" spans="1:2" x14ac:dyDescent="0.3">
      <c r="A43" t="s">
        <v>103</v>
      </c>
      <c r="B43">
        <v>29.23</v>
      </c>
    </row>
    <row r="44" spans="1:2" x14ac:dyDescent="0.3">
      <c r="A44" t="s">
        <v>105</v>
      </c>
      <c r="B44">
        <v>15.55</v>
      </c>
    </row>
    <row r="45" spans="1:2" x14ac:dyDescent="0.3">
      <c r="A45" t="s">
        <v>107</v>
      </c>
      <c r="B45">
        <v>15.36</v>
      </c>
    </row>
    <row r="46" spans="1:2" x14ac:dyDescent="0.3">
      <c r="A46" t="s">
        <v>109</v>
      </c>
      <c r="B46">
        <v>14.07</v>
      </c>
    </row>
    <row r="47" spans="1:2" x14ac:dyDescent="0.3">
      <c r="A47" t="s">
        <v>111</v>
      </c>
      <c r="B47">
        <v>15.94</v>
      </c>
    </row>
    <row r="48" spans="1:2" x14ac:dyDescent="0.3">
      <c r="A48" t="s">
        <v>112</v>
      </c>
      <c r="B48">
        <v>13.37</v>
      </c>
    </row>
    <row r="49" spans="1:2" x14ac:dyDescent="0.3">
      <c r="A49" t="s">
        <v>116</v>
      </c>
      <c r="B49">
        <v>17.22</v>
      </c>
    </row>
    <row r="50" spans="1:2" x14ac:dyDescent="0.3">
      <c r="A50" t="s">
        <v>114</v>
      </c>
      <c r="B50">
        <v>24.44</v>
      </c>
    </row>
    <row r="51" spans="1:2" x14ac:dyDescent="0.3">
      <c r="A51" t="s">
        <v>118</v>
      </c>
      <c r="B51">
        <v>14.91</v>
      </c>
    </row>
    <row r="52" spans="1:2" x14ac:dyDescent="0.3">
      <c r="A52" t="s">
        <v>122</v>
      </c>
      <c r="B52">
        <v>19.559999999999999</v>
      </c>
    </row>
    <row r="53" spans="1:2" x14ac:dyDescent="0.3">
      <c r="A53" t="s">
        <v>120</v>
      </c>
      <c r="B53">
        <v>15.45</v>
      </c>
    </row>
    <row r="54" spans="1:2" x14ac:dyDescent="0.3">
      <c r="A54" t="s">
        <v>124</v>
      </c>
      <c r="B54">
        <v>15.24</v>
      </c>
    </row>
    <row r="55" spans="1:2" x14ac:dyDescent="0.3">
      <c r="A55" t="s">
        <v>126</v>
      </c>
      <c r="B55">
        <v>18.34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0"/>
  <sheetViews>
    <sheetView workbookViewId="0"/>
  </sheetViews>
  <sheetFormatPr defaultRowHeight="14.4" x14ac:dyDescent="0.3"/>
  <cols>
    <col min="1" max="1" width="16" customWidth="1"/>
    <col min="2" max="6" width="34" customWidth="1"/>
  </cols>
  <sheetData>
    <row r="1" spans="1:6" x14ac:dyDescent="0.3">
      <c r="A1" s="1" t="s">
        <v>149</v>
      </c>
    </row>
    <row r="2" spans="1:6" ht="48" customHeight="1" x14ac:dyDescent="0.3">
      <c r="A2" s="8" t="s">
        <v>150</v>
      </c>
      <c r="B2" s="9"/>
      <c r="C2" s="9"/>
      <c r="D2" s="9"/>
      <c r="E2" s="9"/>
      <c r="F2" s="9"/>
    </row>
    <row r="4" spans="1:6" ht="48" customHeight="1" x14ac:dyDescent="0.3">
      <c r="A4" s="7" t="s">
        <v>151</v>
      </c>
      <c r="B4" s="7" t="s">
        <v>152</v>
      </c>
      <c r="C4" s="7" t="s">
        <v>153</v>
      </c>
      <c r="D4" s="7" t="s">
        <v>154</v>
      </c>
      <c r="E4" s="7" t="s">
        <v>155</v>
      </c>
      <c r="F4" s="7" t="s">
        <v>156</v>
      </c>
    </row>
    <row r="5" spans="1:6" x14ac:dyDescent="0.3">
      <c r="A5" t="s">
        <v>3</v>
      </c>
      <c r="B5">
        <f>INDEX('AAA public prices'!$B$4:$B$55,MATCH($A5,'AAA public prices'!$A$4:$A$55,0))</f>
        <v>0.41699999999999998</v>
      </c>
      <c r="C5">
        <f>INDEX('EIA residential prices'!$B$4:$B$55,MATCH($A5,'EIA residential prices'!$A$4:$A$55,0))/Keys!$B$4</f>
        <v>0.16399999999999998</v>
      </c>
      <c r="D5">
        <f t="shared" ref="D5:D36" si="0">B5/C5</f>
        <v>2.5426829268292686</v>
      </c>
      <c r="E5">
        <f t="shared" ref="E5:E36" si="1">B5-C5</f>
        <v>0.253</v>
      </c>
      <c r="F5" t="s">
        <v>2</v>
      </c>
    </row>
    <row r="6" spans="1:6" x14ac:dyDescent="0.3">
      <c r="A6" t="s">
        <v>5</v>
      </c>
      <c r="B6">
        <f>INDEX('AAA public prices'!$B$4:$B$55,MATCH($A6,'AAA public prices'!$A$4:$A$55,0))</f>
        <v>0.47599999999999998</v>
      </c>
      <c r="C6">
        <f>INDEX('EIA residential prices'!$B$4:$B$55,MATCH($A6,'EIA residential prices'!$A$4:$A$55,0))/Keys!$B$4</f>
        <v>0.28210000000000002</v>
      </c>
      <c r="D6">
        <f t="shared" si="0"/>
        <v>1.6873449131513645</v>
      </c>
      <c r="E6">
        <f t="shared" si="1"/>
        <v>0.19389999999999996</v>
      </c>
      <c r="F6" t="s">
        <v>4</v>
      </c>
    </row>
    <row r="7" spans="1:6" x14ac:dyDescent="0.3">
      <c r="A7" t="s">
        <v>9</v>
      </c>
      <c r="B7">
        <f>INDEX('AAA public prices'!$B$4:$B$55,MATCH($A7,'AAA public prices'!$A$4:$A$55,0))</f>
        <v>0.443</v>
      </c>
      <c r="C7">
        <f>INDEX('EIA residential prices'!$B$4:$B$55,MATCH($A7,'EIA residential prices'!$A$4:$A$55,0))/Keys!$B$4</f>
        <v>0.15179999999999999</v>
      </c>
      <c r="D7">
        <f t="shared" si="0"/>
        <v>2.9183135704874839</v>
      </c>
      <c r="E7">
        <f t="shared" si="1"/>
        <v>0.29120000000000001</v>
      </c>
      <c r="F7" t="s">
        <v>8</v>
      </c>
    </row>
    <row r="8" spans="1:6" x14ac:dyDescent="0.3">
      <c r="A8" t="s">
        <v>12</v>
      </c>
      <c r="B8">
        <f>INDEX('AAA public prices'!$B$4:$B$55,MATCH($A8,'AAA public prices'!$A$4:$A$55,0))</f>
        <v>0.44800000000000001</v>
      </c>
      <c r="C8">
        <f>INDEX('EIA residential prices'!$B$4:$B$55,MATCH($A8,'EIA residential prices'!$A$4:$A$55,0))/Keys!$B$4</f>
        <v>0.14119999999999999</v>
      </c>
      <c r="D8">
        <f t="shared" si="0"/>
        <v>3.1728045325779037</v>
      </c>
      <c r="E8">
        <f t="shared" si="1"/>
        <v>0.30680000000000002</v>
      </c>
      <c r="F8" t="s">
        <v>11</v>
      </c>
    </row>
    <row r="9" spans="1:6" x14ac:dyDescent="0.3">
      <c r="A9" t="s">
        <v>15</v>
      </c>
      <c r="B9">
        <f>INDEX('AAA public prices'!$B$4:$B$55,MATCH($A9,'AAA public prices'!$A$4:$A$55,0))</f>
        <v>0.47699999999999998</v>
      </c>
      <c r="C9">
        <f>INDEX('EIA residential prices'!$B$4:$B$55,MATCH($A9,'EIA residential prices'!$A$4:$A$55,0))/Keys!$B$4</f>
        <v>0.34740000000000004</v>
      </c>
      <c r="D9">
        <f t="shared" si="0"/>
        <v>1.3730569948186526</v>
      </c>
      <c r="E9">
        <f t="shared" si="1"/>
        <v>0.12959999999999994</v>
      </c>
      <c r="F9" t="s">
        <v>14</v>
      </c>
    </row>
    <row r="10" spans="1:6" x14ac:dyDescent="0.3">
      <c r="A10" t="s">
        <v>17</v>
      </c>
      <c r="B10">
        <f>INDEX('AAA public prices'!$B$4:$B$55,MATCH($A10,'AAA public prices'!$A$4:$A$55,0))</f>
        <v>0.38600000000000001</v>
      </c>
      <c r="C10">
        <f>INDEX('EIA residential prices'!$B$4:$B$55,MATCH($A10,'EIA residential prices'!$A$4:$A$55,0))/Keys!$B$4</f>
        <v>0.17129999999999998</v>
      </c>
      <c r="D10">
        <f t="shared" si="0"/>
        <v>2.2533566841798018</v>
      </c>
      <c r="E10">
        <f t="shared" si="1"/>
        <v>0.21470000000000003</v>
      </c>
      <c r="F10" t="s">
        <v>16</v>
      </c>
    </row>
    <row r="11" spans="1:6" x14ac:dyDescent="0.3">
      <c r="A11" t="s">
        <v>20</v>
      </c>
      <c r="B11">
        <f>INDEX('AAA public prices'!$B$4:$B$55,MATCH($A11,'AAA public prices'!$A$4:$A$55,0))</f>
        <v>0.39900000000000002</v>
      </c>
      <c r="C11">
        <f>INDEX('EIA residential prices'!$B$4:$B$55,MATCH($A11,'EIA residential prices'!$A$4:$A$55,0))/Keys!$B$4</f>
        <v>0.2432</v>
      </c>
      <c r="D11">
        <f t="shared" si="0"/>
        <v>1.640625</v>
      </c>
      <c r="E11">
        <f t="shared" si="1"/>
        <v>0.15580000000000002</v>
      </c>
      <c r="F11" t="s">
        <v>19</v>
      </c>
    </row>
    <row r="12" spans="1:6" x14ac:dyDescent="0.3">
      <c r="A12" t="s">
        <v>23</v>
      </c>
      <c r="B12">
        <f>INDEX('AAA public prices'!$B$4:$B$55,MATCH($A12,'AAA public prices'!$A$4:$A$55,0))</f>
        <v>0.38100000000000001</v>
      </c>
      <c r="C12">
        <f>INDEX('EIA residential prices'!$B$4:$B$55,MATCH($A12,'EIA residential prices'!$A$4:$A$55,0))/Keys!$B$4</f>
        <v>0.19289999999999999</v>
      </c>
      <c r="D12">
        <f t="shared" si="0"/>
        <v>1.9751166407465008</v>
      </c>
      <c r="E12">
        <f t="shared" si="1"/>
        <v>0.18810000000000002</v>
      </c>
      <c r="F12" t="s">
        <v>22</v>
      </c>
    </row>
    <row r="13" spans="1:6" x14ac:dyDescent="0.3">
      <c r="A13" t="s">
        <v>25</v>
      </c>
      <c r="B13">
        <f>INDEX('AAA public prices'!$B$4:$B$55,MATCH($A13,'AAA public prices'!$A$4:$A$55,0))</f>
        <v>0.41399999999999998</v>
      </c>
      <c r="C13">
        <f>INDEX('EIA residential prices'!$B$4:$B$55,MATCH($A13,'EIA residential prices'!$A$4:$A$55,0))/Keys!$B$4</f>
        <v>0.151</v>
      </c>
      <c r="D13">
        <f t="shared" si="0"/>
        <v>2.7417218543046356</v>
      </c>
      <c r="E13">
        <f t="shared" si="1"/>
        <v>0.26300000000000001</v>
      </c>
      <c r="F13" t="s">
        <v>24</v>
      </c>
    </row>
    <row r="14" spans="1:6" x14ac:dyDescent="0.3">
      <c r="A14" t="s">
        <v>28</v>
      </c>
      <c r="B14">
        <f>INDEX('AAA public prices'!$B$4:$B$55,MATCH($A14,'AAA public prices'!$A$4:$A$55,0))</f>
        <v>0.41299999999999998</v>
      </c>
      <c r="C14">
        <f>INDEX('EIA residential prices'!$B$4:$B$55,MATCH($A14,'EIA residential prices'!$A$4:$A$55,0))/Keys!$B$4</f>
        <v>0.1636</v>
      </c>
      <c r="D14">
        <f t="shared" si="0"/>
        <v>2.524449877750611</v>
      </c>
      <c r="E14">
        <f t="shared" si="1"/>
        <v>0.24939999999999998</v>
      </c>
      <c r="F14" t="s">
        <v>27</v>
      </c>
    </row>
    <row r="15" spans="1:6" x14ac:dyDescent="0.3">
      <c r="A15" t="s">
        <v>31</v>
      </c>
      <c r="B15">
        <f>INDEX('AAA public prices'!$B$4:$B$55,MATCH($A15,'AAA public prices'!$A$4:$A$55,0))</f>
        <v>0.53300000000000003</v>
      </c>
      <c r="C15">
        <f>INDEX('EIA residential prices'!$B$4:$B$55,MATCH($A15,'EIA residential prices'!$A$4:$A$55,0))/Keys!$B$4</f>
        <v>0.5272</v>
      </c>
      <c r="D15">
        <f t="shared" si="0"/>
        <v>1.011001517450683</v>
      </c>
      <c r="E15">
        <f t="shared" si="1"/>
        <v>5.8000000000000274E-3</v>
      </c>
      <c r="F15" t="s">
        <v>30</v>
      </c>
    </row>
    <row r="16" spans="1:6" x14ac:dyDescent="0.3">
      <c r="A16" t="s">
        <v>34</v>
      </c>
      <c r="B16">
        <f>INDEX('AAA public prices'!$B$4:$B$55,MATCH($A16,'AAA public prices'!$A$4:$A$55,0))</f>
        <v>0.42499999999999999</v>
      </c>
      <c r="C16">
        <f>INDEX('EIA residential prices'!$B$4:$B$55,MATCH($A16,'EIA residential prices'!$A$4:$A$55,0))/Keys!$B$4</f>
        <v>0.14369999999999999</v>
      </c>
      <c r="D16">
        <f t="shared" si="0"/>
        <v>2.9575504523312457</v>
      </c>
      <c r="E16">
        <f t="shared" si="1"/>
        <v>0.28129999999999999</v>
      </c>
      <c r="F16" t="s">
        <v>33</v>
      </c>
    </row>
    <row r="17" spans="1:6" x14ac:dyDescent="0.3">
      <c r="A17" t="s">
        <v>36</v>
      </c>
      <c r="B17">
        <f>INDEX('AAA public prices'!$B$4:$B$55,MATCH($A17,'AAA public prices'!$A$4:$A$55,0))</f>
        <v>0.45400000000000001</v>
      </c>
      <c r="C17">
        <f>INDEX('EIA residential prices'!$B$4:$B$55,MATCH($A17,'EIA residential prices'!$A$4:$A$55,0))/Keys!$B$4</f>
        <v>0.19889999999999999</v>
      </c>
      <c r="D17">
        <f t="shared" si="0"/>
        <v>2.2825540472599299</v>
      </c>
      <c r="E17">
        <f t="shared" si="1"/>
        <v>0.25509999999999999</v>
      </c>
      <c r="F17" t="s">
        <v>35</v>
      </c>
    </row>
    <row r="18" spans="1:6" x14ac:dyDescent="0.3">
      <c r="A18" t="s">
        <v>39</v>
      </c>
      <c r="B18">
        <f>INDEX('AAA public prices'!$B$4:$B$55,MATCH($A18,'AAA public prices'!$A$4:$A$55,0))</f>
        <v>0.42899999999999999</v>
      </c>
      <c r="C18">
        <f>INDEX('EIA residential prices'!$B$4:$B$55,MATCH($A18,'EIA residential prices'!$A$4:$A$55,0))/Keys!$B$4</f>
        <v>0.17510000000000001</v>
      </c>
      <c r="D18">
        <f t="shared" si="0"/>
        <v>2.450028555111365</v>
      </c>
      <c r="E18">
        <f t="shared" si="1"/>
        <v>0.25390000000000001</v>
      </c>
      <c r="F18" t="s">
        <v>38</v>
      </c>
    </row>
    <row r="19" spans="1:6" x14ac:dyDescent="0.3">
      <c r="A19" t="s">
        <v>42</v>
      </c>
      <c r="B19">
        <f>INDEX('AAA public prices'!$B$4:$B$55,MATCH($A19,'AAA public prices'!$A$4:$A$55,0))</f>
        <v>0.33500000000000002</v>
      </c>
      <c r="C19">
        <f>INDEX('EIA residential prices'!$B$4:$B$55,MATCH($A19,'EIA residential prices'!$A$4:$A$55,0))/Keys!$B$4</f>
        <v>0.1593</v>
      </c>
      <c r="D19">
        <f t="shared" si="0"/>
        <v>2.102950408035154</v>
      </c>
      <c r="E19">
        <f t="shared" si="1"/>
        <v>0.17570000000000002</v>
      </c>
      <c r="F19" t="s">
        <v>41</v>
      </c>
    </row>
    <row r="20" spans="1:6" x14ac:dyDescent="0.3">
      <c r="A20" t="s">
        <v>44</v>
      </c>
      <c r="B20">
        <f>INDEX('AAA public prices'!$B$4:$B$55,MATCH($A20,'AAA public prices'!$A$4:$A$55,0))</f>
        <v>0.318</v>
      </c>
      <c r="C20">
        <f>INDEX('EIA residential prices'!$B$4:$B$55,MATCH($A20,'EIA residential prices'!$A$4:$A$55,0))/Keys!$B$4</f>
        <v>0.15710000000000002</v>
      </c>
      <c r="D20">
        <f t="shared" si="0"/>
        <v>2.0241884150222784</v>
      </c>
      <c r="E20">
        <f t="shared" si="1"/>
        <v>0.16089999999999999</v>
      </c>
      <c r="F20" t="s">
        <v>43</v>
      </c>
    </row>
    <row r="21" spans="1:6" x14ac:dyDescent="0.3">
      <c r="A21" t="s">
        <v>46</v>
      </c>
      <c r="B21">
        <f>INDEX('AAA public prices'!$B$4:$B$55,MATCH($A21,'AAA public prices'!$A$4:$A$55,0))</f>
        <v>0.41399999999999998</v>
      </c>
      <c r="C21">
        <f>INDEX('EIA residential prices'!$B$4:$B$55,MATCH($A21,'EIA residential prices'!$A$4:$A$55,0))/Keys!$B$4</f>
        <v>0.1426</v>
      </c>
      <c r="D21">
        <f t="shared" si="0"/>
        <v>2.9032258064516125</v>
      </c>
      <c r="E21">
        <f t="shared" si="1"/>
        <v>0.27139999999999997</v>
      </c>
      <c r="F21" t="s">
        <v>45</v>
      </c>
    </row>
    <row r="22" spans="1:6" x14ac:dyDescent="0.3">
      <c r="A22" t="s">
        <v>49</v>
      </c>
      <c r="B22">
        <f>INDEX('AAA public prices'!$B$4:$B$55,MATCH($A22,'AAA public prices'!$A$4:$A$55,0))</f>
        <v>0.47899999999999998</v>
      </c>
      <c r="C22">
        <f>INDEX('EIA residential prices'!$B$4:$B$55,MATCH($A22,'EIA residential prices'!$A$4:$A$55,0))/Keys!$B$4</f>
        <v>0.13489999999999999</v>
      </c>
      <c r="D22">
        <f t="shared" si="0"/>
        <v>3.5507783543365457</v>
      </c>
      <c r="E22">
        <f t="shared" si="1"/>
        <v>0.34409999999999996</v>
      </c>
      <c r="F22" t="s">
        <v>48</v>
      </c>
    </row>
    <row r="23" spans="1:6" x14ac:dyDescent="0.3">
      <c r="A23" t="s">
        <v>53</v>
      </c>
      <c r="B23">
        <f>INDEX('AAA public prices'!$B$4:$B$55,MATCH($A23,'AAA public prices'!$A$4:$A$55,0))</f>
        <v>0.41</v>
      </c>
      <c r="C23">
        <f>INDEX('EIA residential prices'!$B$4:$B$55,MATCH($A23,'EIA residential prices'!$A$4:$A$55,0))/Keys!$B$4</f>
        <v>0.2959</v>
      </c>
      <c r="D23">
        <f t="shared" si="0"/>
        <v>1.3856032443393038</v>
      </c>
      <c r="E23">
        <f t="shared" si="1"/>
        <v>0.11409999999999998</v>
      </c>
      <c r="F23" t="s">
        <v>52</v>
      </c>
    </row>
    <row r="24" spans="1:6" x14ac:dyDescent="0.3">
      <c r="A24" t="s">
        <v>57</v>
      </c>
      <c r="B24">
        <f>INDEX('AAA public prices'!$B$4:$B$55,MATCH($A24,'AAA public prices'!$A$4:$A$55,0))</f>
        <v>0.34899999999999998</v>
      </c>
      <c r="C24">
        <f>INDEX('EIA residential prices'!$B$4:$B$55,MATCH($A24,'EIA residential prices'!$A$4:$A$55,0))/Keys!$B$4</f>
        <v>0.21840000000000001</v>
      </c>
      <c r="D24">
        <f t="shared" si="0"/>
        <v>1.5979853479853479</v>
      </c>
      <c r="E24">
        <f t="shared" si="1"/>
        <v>0.13059999999999997</v>
      </c>
      <c r="F24" t="s">
        <v>56</v>
      </c>
    </row>
    <row r="25" spans="1:6" x14ac:dyDescent="0.3">
      <c r="A25" t="s">
        <v>61</v>
      </c>
      <c r="B25">
        <f>INDEX('AAA public prices'!$B$4:$B$55,MATCH($A25,'AAA public prices'!$A$4:$A$55,0))</f>
        <v>0.39400000000000002</v>
      </c>
      <c r="C25">
        <f>INDEX('EIA residential prices'!$B$4:$B$55,MATCH($A25,'EIA residential prices'!$A$4:$A$55,0))/Keys!$B$4</f>
        <v>0.29609999999999997</v>
      </c>
      <c r="D25">
        <f t="shared" si="0"/>
        <v>1.3306315433975011</v>
      </c>
      <c r="E25">
        <f t="shared" si="1"/>
        <v>9.7900000000000043E-2</v>
      </c>
      <c r="F25" t="s">
        <v>60</v>
      </c>
    </row>
    <row r="26" spans="1:6" x14ac:dyDescent="0.3">
      <c r="A26" t="s">
        <v>65</v>
      </c>
      <c r="B26">
        <f>INDEX('AAA public prices'!$B$4:$B$55,MATCH($A26,'AAA public prices'!$A$4:$A$55,0))</f>
        <v>0.4</v>
      </c>
      <c r="C26">
        <f>INDEX('EIA residential prices'!$B$4:$B$55,MATCH($A26,'EIA residential prices'!$A$4:$A$55,0))/Keys!$B$4</f>
        <v>0.22989999999999999</v>
      </c>
      <c r="D26">
        <f t="shared" si="0"/>
        <v>1.7398869073510224</v>
      </c>
      <c r="E26">
        <f t="shared" si="1"/>
        <v>0.17010000000000003</v>
      </c>
      <c r="F26" t="s">
        <v>64</v>
      </c>
    </row>
    <row r="27" spans="1:6" x14ac:dyDescent="0.3">
      <c r="A27" t="s">
        <v>69</v>
      </c>
      <c r="B27">
        <f>INDEX('AAA public prices'!$B$4:$B$55,MATCH($A27,'AAA public prices'!$A$4:$A$55,0))</f>
        <v>0.373</v>
      </c>
      <c r="C27">
        <f>INDEX('EIA residential prices'!$B$4:$B$55,MATCH($A27,'EIA residential prices'!$A$4:$A$55,0))/Keys!$B$4</f>
        <v>0.17519999999999999</v>
      </c>
      <c r="D27">
        <f t="shared" si="0"/>
        <v>2.1289954337899544</v>
      </c>
      <c r="E27">
        <f t="shared" si="1"/>
        <v>0.1978</v>
      </c>
      <c r="F27" t="s">
        <v>68</v>
      </c>
    </row>
    <row r="28" spans="1:6" x14ac:dyDescent="0.3">
      <c r="A28" t="s">
        <v>73</v>
      </c>
      <c r="B28">
        <f>INDEX('AAA public prices'!$B$4:$B$55,MATCH($A28,'AAA public prices'!$A$4:$A$55,0))</f>
        <v>0.42299999999999999</v>
      </c>
      <c r="C28">
        <f>INDEX('EIA residential prices'!$B$4:$B$55,MATCH($A28,'EIA residential prices'!$A$4:$A$55,0))/Keys!$B$4</f>
        <v>0.14880000000000002</v>
      </c>
      <c r="D28">
        <f t="shared" si="0"/>
        <v>2.8427419354838706</v>
      </c>
      <c r="E28">
        <f t="shared" si="1"/>
        <v>0.2742</v>
      </c>
      <c r="F28" t="s">
        <v>72</v>
      </c>
    </row>
    <row r="29" spans="1:6" x14ac:dyDescent="0.3">
      <c r="A29" t="s">
        <v>75</v>
      </c>
      <c r="B29">
        <f>INDEX('AAA public prices'!$B$4:$B$55,MATCH($A29,'AAA public prices'!$A$4:$A$55,0))</f>
        <v>0.32900000000000001</v>
      </c>
      <c r="C29">
        <f>INDEX('EIA residential prices'!$B$4:$B$55,MATCH($A29,'EIA residential prices'!$A$4:$A$55,0))/Keys!$B$4</f>
        <v>0.16219999999999998</v>
      </c>
      <c r="D29">
        <f t="shared" si="0"/>
        <v>2.028360049321825</v>
      </c>
      <c r="E29">
        <f t="shared" si="1"/>
        <v>0.16680000000000003</v>
      </c>
      <c r="F29" t="s">
        <v>74</v>
      </c>
    </row>
    <row r="30" spans="1:6" x14ac:dyDescent="0.3">
      <c r="A30" t="s">
        <v>77</v>
      </c>
      <c r="B30">
        <f>INDEX('AAA public prices'!$B$4:$B$55,MATCH($A30,'AAA public prices'!$A$4:$A$55,0))</f>
        <v>0.42299999999999999</v>
      </c>
      <c r="C30">
        <f>INDEX('EIA residential prices'!$B$4:$B$55,MATCH($A30,'EIA residential prices'!$A$4:$A$55,0))/Keys!$B$4</f>
        <v>0.15140000000000001</v>
      </c>
      <c r="D30">
        <f t="shared" si="0"/>
        <v>2.7939233817701452</v>
      </c>
      <c r="E30">
        <f t="shared" si="1"/>
        <v>0.27159999999999995</v>
      </c>
      <c r="F30" t="s">
        <v>76</v>
      </c>
    </row>
    <row r="31" spans="1:6" x14ac:dyDescent="0.3">
      <c r="A31" t="s">
        <v>79</v>
      </c>
      <c r="B31">
        <f>INDEX('AAA public prices'!$B$4:$B$55,MATCH($A31,'AAA public prices'!$A$4:$A$55,0))</f>
        <v>0.34200000000000003</v>
      </c>
      <c r="C31">
        <f>INDEX('EIA residential prices'!$B$4:$B$55,MATCH($A31,'EIA residential prices'!$A$4:$A$55,0))/Keys!$B$4</f>
        <v>0.13250000000000001</v>
      </c>
      <c r="D31">
        <f t="shared" si="0"/>
        <v>2.581132075471698</v>
      </c>
      <c r="E31">
        <f t="shared" si="1"/>
        <v>0.20950000000000002</v>
      </c>
      <c r="F31" t="s">
        <v>78</v>
      </c>
    </row>
    <row r="32" spans="1:6" x14ac:dyDescent="0.3">
      <c r="A32" t="s">
        <v>81</v>
      </c>
      <c r="B32">
        <f>INDEX('AAA public prices'!$B$4:$B$55,MATCH($A32,'AAA public prices'!$A$4:$A$55,0))</f>
        <v>0.42799999999999999</v>
      </c>
      <c r="C32">
        <f>INDEX('EIA residential prices'!$B$4:$B$55,MATCH($A32,'EIA residential prices'!$A$4:$A$55,0))/Keys!$B$4</f>
        <v>0.13109999999999999</v>
      </c>
      <c r="D32">
        <f t="shared" si="0"/>
        <v>3.2646834477498095</v>
      </c>
      <c r="E32">
        <f t="shared" si="1"/>
        <v>0.2969</v>
      </c>
      <c r="F32" t="s">
        <v>80</v>
      </c>
    </row>
    <row r="33" spans="1:6" x14ac:dyDescent="0.3">
      <c r="A33" t="s">
        <v>83</v>
      </c>
      <c r="B33">
        <f>INDEX('AAA public prices'!$B$4:$B$55,MATCH($A33,'AAA public prices'!$A$4:$A$55,0))</f>
        <v>0.47099999999999997</v>
      </c>
      <c r="C33">
        <f>INDEX('EIA residential prices'!$B$4:$B$55,MATCH($A33,'EIA residential prices'!$A$4:$A$55,0))/Keys!$B$4</f>
        <v>0.27010000000000001</v>
      </c>
      <c r="D33">
        <f t="shared" si="0"/>
        <v>1.7437985931136615</v>
      </c>
      <c r="E33">
        <f t="shared" si="1"/>
        <v>0.20089999999999997</v>
      </c>
      <c r="F33" t="s">
        <v>82</v>
      </c>
    </row>
    <row r="34" spans="1:6" x14ac:dyDescent="0.3">
      <c r="A34" t="s">
        <v>85</v>
      </c>
      <c r="B34">
        <f>INDEX('AAA public prices'!$B$4:$B$55,MATCH($A34,'AAA public prices'!$A$4:$A$55,0))</f>
        <v>0.45500000000000002</v>
      </c>
      <c r="C34">
        <f>INDEX('EIA residential prices'!$B$4:$B$55,MATCH($A34,'EIA residential prices'!$A$4:$A$55,0))/Keys!$B$4</f>
        <v>0.2495</v>
      </c>
      <c r="D34">
        <f t="shared" si="0"/>
        <v>1.8236472945891784</v>
      </c>
      <c r="E34">
        <f t="shared" si="1"/>
        <v>0.20550000000000002</v>
      </c>
      <c r="F34" t="s">
        <v>84</v>
      </c>
    </row>
    <row r="35" spans="1:6" x14ac:dyDescent="0.3">
      <c r="A35" t="s">
        <v>87</v>
      </c>
      <c r="B35">
        <f>INDEX('AAA public prices'!$B$4:$B$55,MATCH($A35,'AAA public prices'!$A$4:$A$55,0))</f>
        <v>0.38200000000000001</v>
      </c>
      <c r="C35">
        <f>INDEX('EIA residential prices'!$B$4:$B$55,MATCH($A35,'EIA residential prices'!$A$4:$A$55,0))/Keys!$B$4</f>
        <v>0.15060000000000001</v>
      </c>
      <c r="D35">
        <f t="shared" si="0"/>
        <v>2.5365205843293492</v>
      </c>
      <c r="E35">
        <f t="shared" si="1"/>
        <v>0.23139999999999999</v>
      </c>
      <c r="F35" t="s">
        <v>86</v>
      </c>
    </row>
    <row r="36" spans="1:6" x14ac:dyDescent="0.3">
      <c r="A36" t="s">
        <v>89</v>
      </c>
      <c r="B36">
        <f>INDEX('AAA public prices'!$B$4:$B$55,MATCH($A36,'AAA public prices'!$A$4:$A$55,0))</f>
        <v>0.40600000000000003</v>
      </c>
      <c r="C36">
        <f>INDEX('EIA residential prices'!$B$4:$B$55,MATCH($A36,'EIA residential prices'!$A$4:$A$55,0))/Keys!$B$4</f>
        <v>0.2949</v>
      </c>
      <c r="D36">
        <f t="shared" si="0"/>
        <v>1.3767378772465244</v>
      </c>
      <c r="E36">
        <f t="shared" si="1"/>
        <v>0.11110000000000003</v>
      </c>
      <c r="F36" t="s">
        <v>88</v>
      </c>
    </row>
    <row r="37" spans="1:6" x14ac:dyDescent="0.3">
      <c r="A37" t="s">
        <v>91</v>
      </c>
      <c r="B37">
        <f>INDEX('AAA public prices'!$B$4:$B$55,MATCH($A37,'AAA public prices'!$A$4:$A$55,0))</f>
        <v>0.41199999999999998</v>
      </c>
      <c r="C37">
        <f>INDEX('EIA residential prices'!$B$4:$B$55,MATCH($A37,'EIA residential prices'!$A$4:$A$55,0))/Keys!$B$4</f>
        <v>0.1474</v>
      </c>
      <c r="D37">
        <f t="shared" ref="D37:D68" si="2">B37/C37</f>
        <v>2.795115332428765</v>
      </c>
      <c r="E37">
        <f t="shared" ref="E37:E55" si="3">B37-C37</f>
        <v>0.26459999999999995</v>
      </c>
      <c r="F37" t="s">
        <v>90</v>
      </c>
    </row>
    <row r="38" spans="1:6" x14ac:dyDescent="0.3">
      <c r="A38" t="s">
        <v>93</v>
      </c>
      <c r="B38">
        <f>INDEX('AAA public prices'!$B$4:$B$55,MATCH($A38,'AAA public prices'!$A$4:$A$55,0))</f>
        <v>0.44800000000000001</v>
      </c>
      <c r="C38">
        <f>INDEX('EIA residential prices'!$B$4:$B$55,MATCH($A38,'EIA residential prices'!$A$4:$A$55,0))/Keys!$B$4</f>
        <v>0.14119999999999999</v>
      </c>
      <c r="D38">
        <f t="shared" si="2"/>
        <v>3.1728045325779037</v>
      </c>
      <c r="E38">
        <f t="shared" si="3"/>
        <v>0.30680000000000002</v>
      </c>
      <c r="F38" t="s">
        <v>92</v>
      </c>
    </row>
    <row r="39" spans="1:6" x14ac:dyDescent="0.3">
      <c r="A39" t="s">
        <v>95</v>
      </c>
      <c r="B39">
        <f>INDEX('AAA public prices'!$B$4:$B$55,MATCH($A39,'AAA public prices'!$A$4:$A$55,0))</f>
        <v>0.43</v>
      </c>
      <c r="C39">
        <f>INDEX('EIA residential prices'!$B$4:$B$55,MATCH($A39,'EIA residential prices'!$A$4:$A$55,0))/Keys!$B$4</f>
        <v>0.19190000000000002</v>
      </c>
      <c r="D39">
        <f t="shared" si="2"/>
        <v>2.2407503908285564</v>
      </c>
      <c r="E39">
        <f t="shared" si="3"/>
        <v>0.23809999999999998</v>
      </c>
      <c r="F39" t="s">
        <v>94</v>
      </c>
    </row>
    <row r="40" spans="1:6" x14ac:dyDescent="0.3">
      <c r="A40" t="s">
        <v>97</v>
      </c>
      <c r="B40">
        <f>INDEX('AAA public prices'!$B$4:$B$55,MATCH($A40,'AAA public prices'!$A$4:$A$55,0))</f>
        <v>0.42399999999999999</v>
      </c>
      <c r="C40">
        <f>INDEX('EIA residential prices'!$B$4:$B$55,MATCH($A40,'EIA residential prices'!$A$4:$A$55,0))/Keys!$B$4</f>
        <v>0.14330000000000001</v>
      </c>
      <c r="D40">
        <f t="shared" si="2"/>
        <v>2.9588276343335655</v>
      </c>
      <c r="E40">
        <f t="shared" si="3"/>
        <v>0.28069999999999995</v>
      </c>
      <c r="F40" t="s">
        <v>96</v>
      </c>
    </row>
    <row r="41" spans="1:6" x14ac:dyDescent="0.3">
      <c r="A41" t="s">
        <v>99</v>
      </c>
      <c r="B41">
        <f>INDEX('AAA public prices'!$B$4:$B$55,MATCH($A41,'AAA public prices'!$A$4:$A$55,0))</f>
        <v>0.39900000000000002</v>
      </c>
      <c r="C41">
        <f>INDEX('EIA residential prices'!$B$4:$B$55,MATCH($A41,'EIA residential prices'!$A$4:$A$55,0))/Keys!$B$4</f>
        <v>0.16320000000000001</v>
      </c>
      <c r="D41">
        <f t="shared" si="2"/>
        <v>2.4448529411764706</v>
      </c>
      <c r="E41">
        <f t="shared" si="3"/>
        <v>0.23580000000000001</v>
      </c>
      <c r="F41" t="s">
        <v>98</v>
      </c>
    </row>
    <row r="42" spans="1:6" x14ac:dyDescent="0.3">
      <c r="A42" t="s">
        <v>101</v>
      </c>
      <c r="B42">
        <f>INDEX('AAA public prices'!$B$4:$B$55,MATCH($A42,'AAA public prices'!$A$4:$A$55,0))</f>
        <v>0.42299999999999999</v>
      </c>
      <c r="C42">
        <f>INDEX('EIA residential prices'!$B$4:$B$55,MATCH($A42,'EIA residential prices'!$A$4:$A$55,0))/Keys!$B$4</f>
        <v>0.21729999999999999</v>
      </c>
      <c r="D42">
        <f t="shared" si="2"/>
        <v>1.9466175793833409</v>
      </c>
      <c r="E42">
        <f t="shared" si="3"/>
        <v>0.20569999999999999</v>
      </c>
      <c r="F42" t="s">
        <v>100</v>
      </c>
    </row>
    <row r="43" spans="1:6" x14ac:dyDescent="0.3">
      <c r="A43" t="s">
        <v>103</v>
      </c>
      <c r="B43">
        <f>INDEX('AAA public prices'!$B$4:$B$55,MATCH($A43,'AAA public prices'!$A$4:$A$55,0))</f>
        <v>0.40100000000000002</v>
      </c>
      <c r="C43">
        <f>INDEX('EIA residential prices'!$B$4:$B$55,MATCH($A43,'EIA residential prices'!$A$4:$A$55,0))/Keys!$B$4</f>
        <v>0.2923</v>
      </c>
      <c r="D43">
        <f t="shared" si="2"/>
        <v>1.3718782073212454</v>
      </c>
      <c r="E43">
        <f t="shared" si="3"/>
        <v>0.10870000000000002</v>
      </c>
      <c r="F43" t="s">
        <v>102</v>
      </c>
    </row>
    <row r="44" spans="1:6" x14ac:dyDescent="0.3">
      <c r="A44" t="s">
        <v>105</v>
      </c>
      <c r="B44">
        <f>INDEX('AAA public prices'!$B$4:$B$55,MATCH($A44,'AAA public prices'!$A$4:$A$55,0))</f>
        <v>0.43</v>
      </c>
      <c r="C44">
        <f>INDEX('EIA residential prices'!$B$4:$B$55,MATCH($A44,'EIA residential prices'!$A$4:$A$55,0))/Keys!$B$4</f>
        <v>0.1555</v>
      </c>
      <c r="D44">
        <f t="shared" si="2"/>
        <v>2.765273311897106</v>
      </c>
      <c r="E44">
        <f t="shared" si="3"/>
        <v>0.27449999999999997</v>
      </c>
      <c r="F44" t="s">
        <v>104</v>
      </c>
    </row>
    <row r="45" spans="1:6" x14ac:dyDescent="0.3">
      <c r="A45" t="s">
        <v>107</v>
      </c>
      <c r="B45">
        <f>INDEX('AAA public prices'!$B$4:$B$55,MATCH($A45,'AAA public prices'!$A$4:$A$55,0))</f>
        <v>0.35099999999999998</v>
      </c>
      <c r="C45">
        <f>INDEX('EIA residential prices'!$B$4:$B$55,MATCH($A45,'EIA residential prices'!$A$4:$A$55,0))/Keys!$B$4</f>
        <v>0.15359999999999999</v>
      </c>
      <c r="D45">
        <f t="shared" si="2"/>
        <v>2.28515625</v>
      </c>
      <c r="E45">
        <f t="shared" si="3"/>
        <v>0.19739999999999999</v>
      </c>
      <c r="F45" t="s">
        <v>106</v>
      </c>
    </row>
    <row r="46" spans="1:6" x14ac:dyDescent="0.3">
      <c r="A46" t="s">
        <v>109</v>
      </c>
      <c r="B46">
        <f>INDEX('AAA public prices'!$B$4:$B$55,MATCH($A46,'AAA public prices'!$A$4:$A$55,0))</f>
        <v>0.42499999999999999</v>
      </c>
      <c r="C46">
        <f>INDEX('EIA residential prices'!$B$4:$B$55,MATCH($A46,'EIA residential prices'!$A$4:$A$55,0))/Keys!$B$4</f>
        <v>0.14069999999999999</v>
      </c>
      <c r="D46">
        <f t="shared" si="2"/>
        <v>3.0206112295664536</v>
      </c>
      <c r="E46">
        <f t="shared" si="3"/>
        <v>0.2843</v>
      </c>
      <c r="F46" t="s">
        <v>108</v>
      </c>
    </row>
    <row r="47" spans="1:6" x14ac:dyDescent="0.3">
      <c r="A47" t="s">
        <v>111</v>
      </c>
      <c r="B47">
        <f>INDEX('AAA public prices'!$B$4:$B$55,MATCH($A47,'AAA public prices'!$A$4:$A$55,0))</f>
        <v>0.42699999999999999</v>
      </c>
      <c r="C47">
        <f>INDEX('EIA residential prices'!$B$4:$B$55,MATCH($A47,'EIA residential prices'!$A$4:$A$55,0))/Keys!$B$4</f>
        <v>0.15939999999999999</v>
      </c>
      <c r="D47">
        <f t="shared" si="2"/>
        <v>2.6787954830614806</v>
      </c>
      <c r="E47">
        <f t="shared" si="3"/>
        <v>0.2676</v>
      </c>
      <c r="F47" t="s">
        <v>110</v>
      </c>
    </row>
    <row r="48" spans="1:6" x14ac:dyDescent="0.3">
      <c r="A48" t="s">
        <v>112</v>
      </c>
      <c r="B48">
        <f>INDEX('AAA public prices'!$B$4:$B$55,MATCH($A48,'AAA public prices'!$A$4:$A$55,0))</f>
        <v>0.34599999999999997</v>
      </c>
      <c r="C48">
        <f>INDEX('EIA residential prices'!$B$4:$B$55,MATCH($A48,'EIA residential prices'!$A$4:$A$55,0))/Keys!$B$4</f>
        <v>0.13369999999999999</v>
      </c>
      <c r="D48">
        <f t="shared" si="2"/>
        <v>2.587883320867614</v>
      </c>
      <c r="E48">
        <f t="shared" si="3"/>
        <v>0.21229999999999999</v>
      </c>
      <c r="F48" t="s">
        <v>1</v>
      </c>
    </row>
    <row r="49" spans="1:6" x14ac:dyDescent="0.3">
      <c r="A49" t="s">
        <v>114</v>
      </c>
      <c r="B49">
        <f>INDEX('AAA public prices'!$B$4:$B$55,MATCH($A49,'AAA public prices'!$A$4:$A$55,0))</f>
        <v>0.35899999999999999</v>
      </c>
      <c r="C49">
        <f>INDEX('EIA residential prices'!$B$4:$B$55,MATCH($A49,'EIA residential prices'!$A$4:$A$55,0))/Keys!$B$4</f>
        <v>0.24440000000000001</v>
      </c>
      <c r="D49">
        <f t="shared" si="2"/>
        <v>1.4689034369885432</v>
      </c>
      <c r="E49">
        <f t="shared" si="3"/>
        <v>0.11459999999999998</v>
      </c>
      <c r="F49" t="s">
        <v>113</v>
      </c>
    </row>
    <row r="50" spans="1:6" x14ac:dyDescent="0.3">
      <c r="A50" t="s">
        <v>116</v>
      </c>
      <c r="B50">
        <f>INDEX('AAA public prices'!$B$4:$B$55,MATCH($A50,'AAA public prices'!$A$4:$A$55,0))</f>
        <v>0.43</v>
      </c>
      <c r="C50">
        <f>INDEX('EIA residential prices'!$B$4:$B$55,MATCH($A50,'EIA residential prices'!$A$4:$A$55,0))/Keys!$B$4</f>
        <v>0.17219999999999999</v>
      </c>
      <c r="D50">
        <f t="shared" si="2"/>
        <v>2.4970963995354238</v>
      </c>
      <c r="E50">
        <f t="shared" si="3"/>
        <v>0.25780000000000003</v>
      </c>
      <c r="F50" t="s">
        <v>115</v>
      </c>
    </row>
    <row r="51" spans="1:6" x14ac:dyDescent="0.3">
      <c r="A51" t="s">
        <v>118</v>
      </c>
      <c r="B51">
        <f>INDEX('AAA public prices'!$B$4:$B$55,MATCH($A51,'AAA public prices'!$A$4:$A$55,0))</f>
        <v>0.39400000000000002</v>
      </c>
      <c r="C51">
        <f>INDEX('EIA residential prices'!$B$4:$B$55,MATCH($A51,'EIA residential prices'!$A$4:$A$55,0))/Keys!$B$4</f>
        <v>0.14910000000000001</v>
      </c>
      <c r="D51">
        <f t="shared" si="2"/>
        <v>2.6425217974513751</v>
      </c>
      <c r="E51">
        <f t="shared" si="3"/>
        <v>0.24490000000000001</v>
      </c>
      <c r="F51" t="s">
        <v>117</v>
      </c>
    </row>
    <row r="52" spans="1:6" x14ac:dyDescent="0.3">
      <c r="A52" t="s">
        <v>120</v>
      </c>
      <c r="B52">
        <f>INDEX('AAA public prices'!$B$4:$B$55,MATCH($A52,'AAA public prices'!$A$4:$A$55,0))</f>
        <v>0.52800000000000002</v>
      </c>
      <c r="C52">
        <f>INDEX('EIA residential prices'!$B$4:$B$55,MATCH($A52,'EIA residential prices'!$A$4:$A$55,0))/Keys!$B$4</f>
        <v>0.1545</v>
      </c>
      <c r="D52">
        <f t="shared" si="2"/>
        <v>3.4174757281553401</v>
      </c>
      <c r="E52">
        <f t="shared" si="3"/>
        <v>0.37350000000000005</v>
      </c>
      <c r="F52" t="s">
        <v>119</v>
      </c>
    </row>
    <row r="53" spans="1:6" x14ac:dyDescent="0.3">
      <c r="A53" t="s">
        <v>122</v>
      </c>
      <c r="B53">
        <f>INDEX('AAA public prices'!$B$4:$B$55,MATCH($A53,'AAA public prices'!$A$4:$A$55,0))</f>
        <v>0.42599999999999999</v>
      </c>
      <c r="C53">
        <f>INDEX('EIA residential prices'!$B$4:$B$55,MATCH($A53,'EIA residential prices'!$A$4:$A$55,0))/Keys!$B$4</f>
        <v>0.1956</v>
      </c>
      <c r="D53">
        <f t="shared" si="2"/>
        <v>2.1779141104294477</v>
      </c>
      <c r="E53">
        <f t="shared" si="3"/>
        <v>0.23039999999999999</v>
      </c>
      <c r="F53" t="s">
        <v>121</v>
      </c>
    </row>
    <row r="54" spans="1:6" x14ac:dyDescent="0.3">
      <c r="A54" t="s">
        <v>124</v>
      </c>
      <c r="B54">
        <f>INDEX('AAA public prices'!$B$4:$B$55,MATCH($A54,'AAA public prices'!$A$4:$A$55,0))</f>
        <v>0.442</v>
      </c>
      <c r="C54">
        <f>INDEX('EIA residential prices'!$B$4:$B$55,MATCH($A54,'EIA residential prices'!$A$4:$A$55,0))/Keys!$B$4</f>
        <v>0.15240000000000001</v>
      </c>
      <c r="D54">
        <f t="shared" si="2"/>
        <v>2.9002624671916011</v>
      </c>
      <c r="E54">
        <f t="shared" si="3"/>
        <v>0.28959999999999997</v>
      </c>
      <c r="F54" t="s">
        <v>123</v>
      </c>
    </row>
    <row r="55" spans="1:6" x14ac:dyDescent="0.3">
      <c r="A55" t="s">
        <v>126</v>
      </c>
      <c r="B55">
        <f>INDEX('AAA public prices'!$B$4:$B$55,MATCH($A55,'AAA public prices'!$A$4:$A$55,0))</f>
        <v>0.42399999999999999</v>
      </c>
      <c r="C55">
        <f>INDEX('EIA residential prices'!$B$4:$B$55,MATCH($A55,'EIA residential prices'!$A$4:$A$55,0))/Keys!$B$4</f>
        <v>0.18340000000000001</v>
      </c>
      <c r="D55">
        <f t="shared" si="2"/>
        <v>2.311886586695747</v>
      </c>
      <c r="E55">
        <f t="shared" si="3"/>
        <v>0.24059999999999998</v>
      </c>
      <c r="F55" t="s">
        <v>125</v>
      </c>
    </row>
    <row r="58" spans="1:6" x14ac:dyDescent="0.3">
      <c r="A58" s="1" t="s">
        <v>157</v>
      </c>
    </row>
    <row r="59" spans="1:6" ht="72" customHeight="1" x14ac:dyDescent="0.3">
      <c r="A59" s="4" t="s">
        <v>158</v>
      </c>
    </row>
    <row r="60" spans="1:6" ht="43.2" customHeight="1" x14ac:dyDescent="0.3">
      <c r="A60" s="4" t="s">
        <v>159</v>
      </c>
      <c r="B60">
        <v>0.17299999999999999</v>
      </c>
    </row>
    <row r="61" spans="1:6" ht="72" customHeight="1" x14ac:dyDescent="0.3">
      <c r="A61" s="4" t="s">
        <v>160</v>
      </c>
      <c r="B61">
        <v>0.41899999999999998</v>
      </c>
    </row>
    <row r="62" spans="1:6" ht="57.6" customHeight="1" x14ac:dyDescent="0.3">
      <c r="A62" s="4" t="s">
        <v>161</v>
      </c>
      <c r="B62">
        <f>B61/B60</f>
        <v>2.4219653179190752</v>
      </c>
    </row>
    <row r="63" spans="1:6" ht="57.6" customHeight="1" x14ac:dyDescent="0.3">
      <c r="A63" s="4" t="s">
        <v>162</v>
      </c>
      <c r="B63">
        <f>INDEX($D$5:$D$55,MATCH(Keys!$B$5,$A$5:$A$55,0))</f>
        <v>2.311886586695747</v>
      </c>
    </row>
    <row r="66" spans="1:2" x14ac:dyDescent="0.3">
      <c r="A66" s="1" t="s">
        <v>163</v>
      </c>
    </row>
    <row r="67" spans="1:2" x14ac:dyDescent="0.3">
      <c r="A67" t="s">
        <v>164</v>
      </c>
      <c r="B67" t="str">
        <f>About!$B$2</f>
        <v>UT</v>
      </c>
    </row>
    <row r="68" spans="1:2" x14ac:dyDescent="0.3">
      <c r="A68" t="s">
        <v>165</v>
      </c>
      <c r="B68">
        <f>INDEX($B$5:$B$55,MATCH($B$67,$A$5:$A$55,0))</f>
        <v>0.34599999999999997</v>
      </c>
    </row>
    <row r="69" spans="1:2" x14ac:dyDescent="0.3">
      <c r="A69" t="s">
        <v>166</v>
      </c>
      <c r="B69">
        <f>INDEX($C$5:$C$55,MATCH($B$67,$A$5:$A$55,0))</f>
        <v>0.13369999999999999</v>
      </c>
    </row>
    <row r="70" spans="1:2" x14ac:dyDescent="0.3">
      <c r="A70" s="1" t="s">
        <v>167</v>
      </c>
      <c r="B70">
        <f>INDEX($D$5:$D$55,MATCH($B$67,$A$5:$A$55,0))</f>
        <v>2.587883320867614</v>
      </c>
    </row>
  </sheetData>
  <mergeCells count="1">
    <mergeCell ref="A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/>
  </sheetViews>
  <sheetFormatPr defaultRowHeight="14.4" x14ac:dyDescent="0.3"/>
  <cols>
    <col min="1" max="1" width="70" customWidth="1"/>
    <col min="2" max="2" width="16" customWidth="1"/>
    <col min="3" max="3" width="12" customWidth="1"/>
  </cols>
  <sheetData>
    <row r="1" spans="1:3" x14ac:dyDescent="0.3">
      <c r="A1" s="1" t="s">
        <v>168</v>
      </c>
    </row>
    <row r="3" spans="1:3" x14ac:dyDescent="0.3">
      <c r="A3" s="6" t="s">
        <v>169</v>
      </c>
      <c r="B3" s="6" t="s">
        <v>129</v>
      </c>
      <c r="C3" s="6" t="s">
        <v>170</v>
      </c>
    </row>
    <row r="4" spans="1:3" ht="28.8" customHeight="1" x14ac:dyDescent="0.3">
      <c r="A4" s="4" t="s">
        <v>171</v>
      </c>
      <c r="B4">
        <f>IFERROR(MATCH(Calcs!$B$67,Calcs!$A$5:$A$55,0),0)</f>
        <v>44</v>
      </c>
      <c r="C4" t="str">
        <f>IF(B4&gt;0,"PASS","FAIL")</f>
        <v>PASS</v>
      </c>
    </row>
    <row r="5" spans="1:3" ht="28.8" customHeight="1" x14ac:dyDescent="0.3">
      <c r="A5" s="4" t="s">
        <v>172</v>
      </c>
      <c r="B5">
        <f>Calcs!$B$70</f>
        <v>2.587883320867614</v>
      </c>
      <c r="C5" t="str">
        <f>IF(AND(B5&gt;=Keys!$B$6,B5&lt;=Keys!$B$7),"PASS","FAIL")</f>
        <v>PASS</v>
      </c>
    </row>
    <row r="6" spans="1:3" x14ac:dyDescent="0.3">
      <c r="A6" s="4" t="s">
        <v>173</v>
      </c>
      <c r="B6">
        <f>COUNTIF(Calcs!$D$5:$D$55,"&lt;"&amp;Keys!$B$6)+COUNTIF(Calcs!$D$5:$D$55,"&gt;"&amp;Keys!$B$7)</f>
        <v>0</v>
      </c>
      <c r="C6" t="str">
        <f>IF(B6=0,"PASS","FAIL")</f>
        <v>PASS</v>
      </c>
    </row>
    <row r="7" spans="1:3" ht="28.8" customHeight="1" x14ac:dyDescent="0.3">
      <c r="A7" s="4" t="s">
        <v>174</v>
      </c>
      <c r="B7">
        <f>COUNTIF(Calcs!$E$5:$E$55,"&lt;="&amp;Keys!$B$9)</f>
        <v>0</v>
      </c>
      <c r="C7" t="str">
        <f>IF(B7=0,"PASS","FAIL")</f>
        <v>PASS</v>
      </c>
    </row>
    <row r="8" spans="1:3" x14ac:dyDescent="0.3">
      <c r="A8" s="4" t="s">
        <v>175</v>
      </c>
      <c r="B8">
        <f>ABS(RoPCCtPCC!$B$1-Calcs!$B$70)</f>
        <v>0</v>
      </c>
      <c r="C8" t="str">
        <f>IF(B8&lt;Keys!$B$8,"PASS","FAIL")</f>
        <v>PASS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A1:B1"/>
  <sheetViews>
    <sheetView workbookViewId="0"/>
  </sheetViews>
  <sheetFormatPr defaultRowHeight="14.4" x14ac:dyDescent="0.3"/>
  <cols>
    <col min="1" max="1" width="22" customWidth="1"/>
  </cols>
  <sheetData>
    <row r="1" spans="1:2" x14ac:dyDescent="0.3">
      <c r="A1" t="s">
        <v>176</v>
      </c>
      <c r="B1">
        <f>Calcs!$B$70</f>
        <v>2.587883320867614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Keys</vt:lpstr>
      <vt:lpstr>AAA public prices</vt:lpstr>
      <vt:lpstr>EIA residential prices</vt:lpstr>
      <vt:lpstr>Calcs</vt:lpstr>
      <vt:lpstr>Checks</vt:lpstr>
      <vt:lpstr>RoPCCtPCC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Robbie Orvis</cp:lastModifiedBy>
  <dcterms:created xsi:type="dcterms:W3CDTF">2026-09-15T01:58:45Z</dcterms:created>
  <dcterms:modified xsi:type="dcterms:W3CDTF">2026-09-15T01:59:54Z</dcterms:modified>
</cp:coreProperties>
</file>