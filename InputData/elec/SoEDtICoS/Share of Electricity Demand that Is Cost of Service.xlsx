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out" sheetId="1" state="visible" r:id="rId1"/>
    <sheet xmlns:r="http://schemas.openxmlformats.org/officeDocument/2006/relationships" name="Parameters" sheetId="2" state="visible" r:id="rId2"/>
    <sheet xmlns:r="http://schemas.openxmlformats.org/officeDocument/2006/relationships" name="EIA-861 Sales 2024" sheetId="3" state="visible" r:id="rId3"/>
    <sheet xmlns:r="http://schemas.openxmlformats.org/officeDocument/2006/relationships" name="Share" sheetId="4" state="visible" r:id="rId4"/>
    <sheet xmlns:r="http://schemas.openxmlformats.org/officeDocument/2006/relationships" name="SoEDtIC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i val="1"/>
    </font>
    <font>
      <color rgb="000563C1"/>
      <u val="single"/>
    </font>
    <font>
      <b val="1"/>
      <color rgb="00FFFFFF"/>
    </font>
    <font>
      <b val="1"/>
      <i val="1"/>
      <color rgb="001F3864"/>
    </font>
  </fonts>
  <fills count="4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305496"/>
        <b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top" wrapText="1"/>
    </xf>
    <xf numFmtId="0" fontId="1" fillId="0" borderId="0" applyAlignment="1" pivotButton="0" quotePrefix="0" xfId="0">
      <alignment horizontal="left" vertical="top" wrapText="1"/>
    </xf>
    <xf numFmtId="0" fontId="4" fillId="3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eia.gov/electricity/data/eia861/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20" customWidth="1" min="1" max="1"/>
    <col width="110" customWidth="1" min="2" max="2"/>
  </cols>
  <sheetData>
    <row r="1">
      <c r="A1" s="1" t="inlineStr">
        <is>
          <t>SoEDtICoS Share of Electricity Demand that Is Cost of Service</t>
        </is>
      </c>
    </row>
    <row r="2">
      <c r="A2" s="2" t="inlineStr">
        <is>
          <t>Scope: state of UT   |   Data year: 2024</t>
        </is>
      </c>
    </row>
    <row r="4">
      <c r="A4" s="1" t="inlineStr">
        <is>
          <t>Source:</t>
        </is>
      </c>
      <c r="B4" s="3" t="inlineStr">
        <is>
          <t>Retail electricity sales by serving entity (utility / marketer / CCA)</t>
        </is>
      </c>
    </row>
    <row r="5">
      <c r="B5" s="4" t="inlineStr">
        <is>
          <t>U.S. Energy Information Administration (EIA)</t>
        </is>
      </c>
    </row>
    <row r="6">
      <c r="B6" s="4" t="inlineStr">
        <is>
          <t>Form EIA-861 detailed data, Sales_Ult_Cust_2024.xlsx (sheet 'States')</t>
        </is>
      </c>
    </row>
    <row r="7">
      <c r="B7" s="4" t="n">
        <v>2024</v>
      </c>
    </row>
    <row r="8">
      <c r="B8" s="5" t="inlineStr">
        <is>
          <t>https://www.eia.gov/electricity/data/eia861/</t>
        </is>
      </c>
    </row>
    <row r="9">
      <c r="B9" s="4" t="inlineStr">
        <is>
          <t>Cost-of-service share = cost-of-service MWh / (cost-of-service + procurement) MWh for this jurisdiction. Ties to EIA published retail sales (Bundled+Energy).</t>
        </is>
      </c>
    </row>
    <row r="11">
      <c r="A11" s="1" t="inlineStr">
        <is>
          <t>Notes:</t>
        </is>
      </c>
    </row>
    <row r="12">
      <c r="A12" s="6" t="inlineStr">
        <is>
          <t>Classification</t>
        </is>
      </c>
      <c r="B12" s="4" t="inlineStr">
        <is>
          <t>LSE-based: cost-of-service = bundled sales of munis, cooperatives, federal/state/political-subdivision utilities, plus IOUs in non-restructured states (and the TX override utilities). Procurement = marketers, CCAs, any 'Energy' service-type sales, and IOUs in restructured states.</t>
        </is>
      </c>
    </row>
    <row r="13">
      <c r="A13" s="6" t="inlineStr">
        <is>
          <t>Double-count fix</t>
        </is>
      </c>
      <c r="B13" s="4" t="inlineStr">
        <is>
          <t>Only Service Type Bundled or Energy enter the totals; 'Delivery' rows (the wires half of choice load) are classified 'excluded'.</t>
        </is>
      </c>
    </row>
    <row r="14">
      <c r="A14" s="6" t="inlineStr">
        <is>
          <t>Exclusions</t>
        </is>
      </c>
      <c r="B14" s="4" t="inlineStr">
        <is>
          <t>EIA 'Adjustment' rows and 'Behind the Meter' ownership are excluded.</t>
        </is>
      </c>
    </row>
    <row r="15">
      <c r="A15" s="6" t="inlineStr">
        <is>
          <t>Time profile</t>
        </is>
      </c>
      <c r="B15" s="4" t="inlineStr">
        <is>
          <t>Held FLAT 2021-2050 at the latest-year cost-of-service share. The analysis measures a single recent year; no independent forward projection is made.</t>
        </is>
      </c>
    </row>
    <row r="16">
      <c r="A16" s="6" t="inlineStr">
        <is>
          <t>Restructured + overrides</t>
        </is>
      </c>
      <c r="B16" s="4" t="inlineStr">
        <is>
          <t>Editable on the Parameters tab. Non-ERCOT TX IOUs (util #s 55937/17718/17698/5701) are held cost-of-service.</t>
        </is>
      </c>
    </row>
    <row r="17">
      <c r="A17" s="6" t="inlineStr">
        <is>
          <t>How it computes</t>
        </is>
      </c>
      <c r="B17" s="4" t="inlineStr">
        <is>
          <t>Source tab 'bucket' column classifies each row (reads Parameters via COUNTIF); the Share tab sums via SUMIFS; the SoEDtICoS tab = ROUND(share,3) flat across years. Edit Parameters and the EPS value recomputes.</t>
        </is>
      </c>
    </row>
    <row r="18">
      <c r="A18" s="6" t="inlineStr">
        <is>
          <t>Caveat</t>
        </is>
      </c>
      <c r="B18" s="4" t="inlineStr">
        <is>
          <t>Staff-review input; verify against EIA primary sources. Restructured list and TX overrides are adjustable assumptions.</t>
        </is>
      </c>
    </row>
  </sheetData>
  <hyperlinks>
    <hyperlink xmlns:r="http://schemas.openxmlformats.org/officeDocument/2006/relationships" ref="B8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34" customWidth="1" min="3" max="3"/>
  </cols>
  <sheetData>
    <row r="1">
      <c r="A1" s="1" t="inlineStr">
        <is>
          <t>Parameters (editable — outputs recompute)</t>
        </is>
      </c>
    </row>
    <row r="3">
      <c r="A3" s="7" t="inlineStr">
        <is>
          <t>Fully Restructured States</t>
        </is>
      </c>
      <c r="B3" s="7" t="inlineStr">
        <is>
          <t>Override Utility #</t>
        </is>
      </c>
      <c r="C3" s="7" t="inlineStr">
        <is>
          <t>Override Utility Name (reference)</t>
        </is>
      </c>
    </row>
    <row r="4">
      <c r="A4" t="inlineStr">
        <is>
          <t>CT</t>
        </is>
      </c>
      <c r="B4" t="n">
        <v>55937</v>
      </c>
      <c r="C4" t="inlineStr">
        <is>
          <t>Entergy Texas Inc.</t>
        </is>
      </c>
    </row>
    <row r="5">
      <c r="A5" t="inlineStr">
        <is>
          <t>DC</t>
        </is>
      </c>
      <c r="B5" t="n">
        <v>17718</v>
      </c>
      <c r="C5" t="inlineStr">
        <is>
          <t>Southwestern Public Service Co</t>
        </is>
      </c>
    </row>
    <row r="6">
      <c r="A6" t="inlineStr">
        <is>
          <t>DE</t>
        </is>
      </c>
      <c r="B6" t="n">
        <v>17698</v>
      </c>
      <c r="C6" t="inlineStr">
        <is>
          <t>Southwestern Electric Power Co</t>
        </is>
      </c>
    </row>
    <row r="7">
      <c r="A7" t="inlineStr">
        <is>
          <t>IL</t>
        </is>
      </c>
      <c r="B7" t="n">
        <v>5701</v>
      </c>
      <c r="C7" t="inlineStr">
        <is>
          <t>El Paso Electric Co</t>
        </is>
      </c>
    </row>
    <row r="8">
      <c r="A8" t="inlineStr">
        <is>
          <t>MA</t>
        </is>
      </c>
    </row>
    <row r="9">
      <c r="A9" t="inlineStr">
        <is>
          <t>MD</t>
        </is>
      </c>
    </row>
    <row r="10">
      <c r="A10" t="inlineStr">
        <is>
          <t>ME</t>
        </is>
      </c>
    </row>
    <row r="11">
      <c r="A11" t="inlineStr">
        <is>
          <t>NH</t>
        </is>
      </c>
    </row>
    <row r="12">
      <c r="A12" t="inlineStr">
        <is>
          <t>NJ</t>
        </is>
      </c>
    </row>
    <row r="13">
      <c r="A13" t="inlineStr">
        <is>
          <t>NY</t>
        </is>
      </c>
    </row>
    <row r="14">
      <c r="A14" t="inlineStr">
        <is>
          <t>OH</t>
        </is>
      </c>
    </row>
    <row r="15">
      <c r="A15" t="inlineStr">
        <is>
          <t>PA</t>
        </is>
      </c>
    </row>
    <row r="16">
      <c r="A16" t="inlineStr">
        <is>
          <t>RI</t>
        </is>
      </c>
    </row>
    <row r="17">
      <c r="A17" t="inlineStr">
        <is>
          <t>TX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2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Utility Characteristics</t>
        </is>
      </c>
      <c r="J1" t="inlineStr">
        <is>
          <t>RESIDENTIAL</t>
        </is>
      </c>
      <c r="M1" t="inlineStr">
        <is>
          <t>COMMERCIAL</t>
        </is>
      </c>
      <c r="P1" t="inlineStr">
        <is>
          <t>INDUSTRIAL</t>
        </is>
      </c>
      <c r="S1" t="inlineStr">
        <is>
          <t>TRANSPORTATION</t>
        </is>
      </c>
      <c r="V1" t="inlineStr">
        <is>
          <t>TOTAL</t>
        </is>
      </c>
    </row>
    <row r="2">
      <c r="A2" t="inlineStr"/>
      <c r="J2" t="inlineStr">
        <is>
          <t>Revenues</t>
        </is>
      </c>
      <c r="K2" t="inlineStr">
        <is>
          <t>Sales</t>
        </is>
      </c>
      <c r="L2" t="inlineStr">
        <is>
          <t>Customers</t>
        </is>
      </c>
      <c r="M2" t="inlineStr">
        <is>
          <t>Revenues</t>
        </is>
      </c>
      <c r="N2" t="inlineStr">
        <is>
          <t>Sales</t>
        </is>
      </c>
      <c r="O2" t="inlineStr">
        <is>
          <t>Customers</t>
        </is>
      </c>
      <c r="P2" t="inlineStr">
        <is>
          <t>Revenues</t>
        </is>
      </c>
      <c r="Q2" t="inlineStr">
        <is>
          <t>Sales</t>
        </is>
      </c>
      <c r="R2" t="inlineStr">
        <is>
          <t>Customers</t>
        </is>
      </c>
      <c r="S2" t="inlineStr">
        <is>
          <t>Revenues</t>
        </is>
      </c>
      <c r="T2" t="inlineStr">
        <is>
          <t>Sales</t>
        </is>
      </c>
      <c r="U2" t="inlineStr">
        <is>
          <t>Customers</t>
        </is>
      </c>
      <c r="V2" t="inlineStr">
        <is>
          <t>Revenues</t>
        </is>
      </c>
      <c r="W2" t="inlineStr">
        <is>
          <t>Sales</t>
        </is>
      </c>
      <c r="X2" t="inlineStr">
        <is>
          <t>Customers</t>
        </is>
      </c>
    </row>
    <row r="3">
      <c r="A3" t="inlineStr">
        <is>
          <t>Data Year</t>
        </is>
      </c>
      <c r="B3" t="inlineStr">
        <is>
          <t>Utility Number</t>
        </is>
      </c>
      <c r="C3" t="inlineStr">
        <is>
          <t>Utility Name</t>
        </is>
      </c>
      <c r="D3" t="inlineStr">
        <is>
          <t>Part</t>
        </is>
      </c>
      <c r="E3" t="inlineStr">
        <is>
          <t>Service Type</t>
        </is>
      </c>
      <c r="F3" t="inlineStr">
        <is>
          <t>Data Type
O = Observed
I = Imputed</t>
        </is>
      </c>
      <c r="G3" t="inlineStr">
        <is>
          <t>State</t>
        </is>
      </c>
      <c r="H3" t="inlineStr">
        <is>
          <t>Ownership</t>
        </is>
      </c>
      <c r="I3" t="inlineStr">
        <is>
          <t>BA Code</t>
        </is>
      </c>
      <c r="J3" t="inlineStr">
        <is>
          <t>Thousand Dollars</t>
        </is>
      </c>
      <c r="K3" t="inlineStr">
        <is>
          <t>Megawatthours</t>
        </is>
      </c>
      <c r="L3" t="inlineStr">
        <is>
          <t>Count</t>
        </is>
      </c>
      <c r="M3" t="inlineStr">
        <is>
          <t>Thousand Dollars</t>
        </is>
      </c>
      <c r="N3" t="inlineStr">
        <is>
          <t>Megawatthours</t>
        </is>
      </c>
      <c r="O3" t="inlineStr">
        <is>
          <t>Count</t>
        </is>
      </c>
      <c r="P3" t="inlineStr">
        <is>
          <t>Thousand Dollars</t>
        </is>
      </c>
      <c r="Q3" t="inlineStr">
        <is>
          <t>Megawatthours</t>
        </is>
      </c>
      <c r="R3" t="inlineStr">
        <is>
          <t>Count</t>
        </is>
      </c>
      <c r="S3" t="inlineStr">
        <is>
          <t>Thousand Dollars</t>
        </is>
      </c>
      <c r="T3" t="inlineStr">
        <is>
          <t>Megawatthours</t>
        </is>
      </c>
      <c r="U3" t="inlineStr">
        <is>
          <t>Count</t>
        </is>
      </c>
      <c r="V3" t="inlineStr">
        <is>
          <t>Thousand Dollars</t>
        </is>
      </c>
      <c r="W3" t="inlineStr">
        <is>
          <t>Megawatthours</t>
        </is>
      </c>
      <c r="X3" t="inlineStr">
        <is>
          <t>Count</t>
        </is>
      </c>
      <c r="Y3" s="8" t="inlineStr">
        <is>
          <t>sales_mwh (derived)</t>
        </is>
      </c>
      <c r="Z3" s="8" t="inlineStr">
        <is>
          <t>bucket (derived)</t>
        </is>
      </c>
    </row>
    <row r="4">
      <c r="A4" t="n">
        <v>2024</v>
      </c>
      <c r="B4" t="n">
        <v>2010</v>
      </c>
      <c r="C4" t="inlineStr">
        <is>
          <t>City of Bountiful</t>
        </is>
      </c>
      <c r="D4" t="inlineStr">
        <is>
          <t>A</t>
        </is>
      </c>
      <c r="E4" t="inlineStr">
        <is>
          <t>Bundled</t>
        </is>
      </c>
      <c r="F4" t="inlineStr">
        <is>
          <t>O</t>
        </is>
      </c>
      <c r="G4" t="inlineStr">
        <is>
          <t>UT</t>
        </is>
      </c>
      <c r="H4" t="inlineStr">
        <is>
          <t>Municipal</t>
        </is>
      </c>
      <c r="I4" t="inlineStr">
        <is>
          <t>PACE</t>
        </is>
      </c>
      <c r="J4" t="n">
        <v>20849.6</v>
      </c>
      <c r="K4" t="n">
        <v>160774</v>
      </c>
      <c r="L4" t="n">
        <v>15709</v>
      </c>
      <c r="M4" t="n">
        <v>10495.3</v>
      </c>
      <c r="N4" t="n">
        <v>88010</v>
      </c>
      <c r="O4" t="n">
        <v>1658</v>
      </c>
      <c r="P4" t="n">
        <v>2844.5</v>
      </c>
      <c r="Q4" t="n">
        <v>35238</v>
      </c>
      <c r="R4" t="n">
        <v>1</v>
      </c>
      <c r="S4" t="n">
        <v>0</v>
      </c>
      <c r="T4" t="n">
        <v>0</v>
      </c>
      <c r="U4" t="n">
        <v>0</v>
      </c>
      <c r="V4" t="n">
        <v>34189.4</v>
      </c>
      <c r="W4" t="n">
        <v>284022</v>
      </c>
      <c r="X4" t="n">
        <v>17368</v>
      </c>
      <c r="Y4">
        <f>IF(ISNUMBER($W4),$W4,0)</f>
        <v/>
      </c>
      <c r="Z4">
        <f>IF(ISNUMBER(SEARCH("Adjustment",$C4)),"excluded",IF($H4="Behind the Meter","excluded",IF(NOT(OR($E4="Bundled",$E4="Energy")),"excluded",IF(OR($H4="Retail Power Marketer",$H4="Community Choice Aggregator",$E4="Energy"),"procurement",IF(OR($H4="Municipal",$H4="Cooperative",$H4="Federal",$H4="State",$H4="Political Subdivision"),"cost_service",IF($H4="Investor Owned",IF(AND(COUNTIF(Parameters!$A$4:$A$33,$G4)&gt;0,COUNTIF(Parameters!$B$4:$B$33,$B4)=0),"procurement","cost_service"),"unclassified"))))))</f>
        <v/>
      </c>
    </row>
    <row r="5">
      <c r="A5" t="n">
        <v>2024</v>
      </c>
      <c r="B5" t="n">
        <v>5862</v>
      </c>
      <c r="C5" t="inlineStr">
        <is>
          <t>Empire Electric Assn, Inc</t>
        </is>
      </c>
      <c r="D5" t="inlineStr">
        <is>
          <t>A</t>
        </is>
      </c>
      <c r="E5" t="inlineStr">
        <is>
          <t>Bundled</t>
        </is>
      </c>
      <c r="F5" t="inlineStr">
        <is>
          <t>O</t>
        </is>
      </c>
      <c r="G5" t="inlineStr">
        <is>
          <t>UT</t>
        </is>
      </c>
      <c r="H5" t="inlineStr">
        <is>
          <t>Cooperative</t>
        </is>
      </c>
      <c r="I5" t="inlineStr">
        <is>
          <t>WACM</t>
        </is>
      </c>
      <c r="J5" t="n">
        <v>1237.2</v>
      </c>
      <c r="K5" t="n">
        <v>7608</v>
      </c>
      <c r="L5" t="n">
        <v>946</v>
      </c>
      <c r="M5" t="n">
        <v>1315.1</v>
      </c>
      <c r="N5" t="n">
        <v>9919</v>
      </c>
      <c r="O5" t="n">
        <v>352</v>
      </c>
      <c r="P5" t="n">
        <v>4.2</v>
      </c>
      <c r="Q5" t="n">
        <v>15</v>
      </c>
      <c r="R5" t="n">
        <v>5</v>
      </c>
      <c r="S5" t="inlineStr">
        <is>
          <t>.</t>
        </is>
      </c>
      <c r="T5" t="inlineStr">
        <is>
          <t>.</t>
        </is>
      </c>
      <c r="U5" t="inlineStr">
        <is>
          <t>.</t>
        </is>
      </c>
      <c r="V5" t="n">
        <v>2556.5</v>
      </c>
      <c r="W5" t="n">
        <v>17542</v>
      </c>
      <c r="X5" t="n">
        <v>1303</v>
      </c>
      <c r="Y5">
        <f>IF(ISNUMBER($W5),$W5,0)</f>
        <v/>
      </c>
      <c r="Z5">
        <f>IF(ISNUMBER(SEARCH("Adjustment",$C5)),"excluded",IF($H5="Behind the Meter","excluded",IF(NOT(OR($E5="Bundled",$E5="Energy")),"excluded",IF(OR($H5="Retail Power Marketer",$H5="Community Choice Aggregator",$E5="Energy"),"procurement",IF(OR($H5="Municipal",$H5="Cooperative",$H5="Federal",$H5="State",$H5="Political Subdivision"),"cost_service",IF($H5="Investor Owned",IF(AND(COUNTIF(Parameters!$A$4:$A$33,$G5)&gt;0,COUNTIF(Parameters!$B$4:$B$33,$B5)=0),"procurement","cost_service"),"unclassified"))))))</f>
        <v/>
      </c>
    </row>
    <row r="6">
      <c r="A6" t="n">
        <v>2024</v>
      </c>
      <c r="B6" t="n">
        <v>6957</v>
      </c>
      <c r="C6" t="inlineStr">
        <is>
          <t>Garkane Energy Coop, Inc</t>
        </is>
      </c>
      <c r="D6" t="inlineStr">
        <is>
          <t>A</t>
        </is>
      </c>
      <c r="E6" t="inlineStr">
        <is>
          <t>Bundled</t>
        </is>
      </c>
      <c r="F6" t="inlineStr">
        <is>
          <t>O</t>
        </is>
      </c>
      <c r="G6" t="inlineStr">
        <is>
          <t>UT</t>
        </is>
      </c>
      <c r="H6" t="inlineStr">
        <is>
          <t>Cooperative</t>
        </is>
      </c>
      <c r="I6" t="inlineStr">
        <is>
          <t>WACM</t>
        </is>
      </c>
      <c r="J6" t="n">
        <v>14420.7</v>
      </c>
      <c r="K6" t="n">
        <v>125989</v>
      </c>
      <c r="L6" t="n">
        <v>11653</v>
      </c>
      <c r="M6" t="n">
        <v>11057.7</v>
      </c>
      <c r="N6" t="n">
        <v>102279</v>
      </c>
      <c r="O6" t="n">
        <v>2478</v>
      </c>
      <c r="P6" t="n">
        <v>1266.8</v>
      </c>
      <c r="Q6" t="n">
        <v>19039</v>
      </c>
      <c r="R6" t="n">
        <v>1</v>
      </c>
      <c r="S6" t="inlineStr">
        <is>
          <t>.</t>
        </is>
      </c>
      <c r="T6" t="inlineStr">
        <is>
          <t>.</t>
        </is>
      </c>
      <c r="U6" t="inlineStr">
        <is>
          <t>.</t>
        </is>
      </c>
      <c r="V6" t="n">
        <v>26745.2</v>
      </c>
      <c r="W6" t="n">
        <v>247307</v>
      </c>
      <c r="X6" t="n">
        <v>14132</v>
      </c>
      <c r="Y6">
        <f>IF(ISNUMBER($W6),$W6,0)</f>
        <v/>
      </c>
      <c r="Z6">
        <f>IF(ISNUMBER(SEARCH("Adjustment",$C6)),"excluded",IF($H6="Behind the Meter","excluded",IF(NOT(OR($E6="Bundled",$E6="Energy")),"excluded",IF(OR($H6="Retail Power Marketer",$H6="Community Choice Aggregator",$E6="Energy"),"procurement",IF(OR($H6="Municipal",$H6="Cooperative",$H6="Federal",$H6="State",$H6="Political Subdivision"),"cost_service",IF($H6="Investor Owned",IF(AND(COUNTIF(Parameters!$A$4:$A$33,$G6)&gt;0,COUNTIF(Parameters!$B$4:$B$33,$B6)=0),"procurement","cost_service"),"unclassified"))))))</f>
        <v/>
      </c>
    </row>
    <row r="7">
      <c r="A7" t="n">
        <v>2024</v>
      </c>
      <c r="B7" t="n">
        <v>10879</v>
      </c>
      <c r="C7" t="inlineStr">
        <is>
          <t>Lehi City Corporation</t>
        </is>
      </c>
      <c r="D7" t="inlineStr">
        <is>
          <t>A</t>
        </is>
      </c>
      <c r="E7" t="inlineStr">
        <is>
          <t>Bundled</t>
        </is>
      </c>
      <c r="F7" t="inlineStr">
        <is>
          <t>O</t>
        </is>
      </c>
      <c r="G7" t="inlineStr">
        <is>
          <t>UT</t>
        </is>
      </c>
      <c r="H7" t="inlineStr">
        <is>
          <t>Municipal</t>
        </is>
      </c>
      <c r="I7" t="inlineStr">
        <is>
          <t>PACE</t>
        </is>
      </c>
      <c r="J7" t="n">
        <v>29047.1</v>
      </c>
      <c r="K7" t="n">
        <v>265338</v>
      </c>
      <c r="L7" t="n">
        <v>27459</v>
      </c>
      <c r="M7" t="n">
        <v>25790.8</v>
      </c>
      <c r="N7" t="n">
        <v>232986</v>
      </c>
      <c r="O7" t="n">
        <v>2713</v>
      </c>
      <c r="P7" t="inlineStr">
        <is>
          <t>.</t>
        </is>
      </c>
      <c r="Q7" t="inlineStr">
        <is>
          <t>.</t>
        </is>
      </c>
      <c r="R7" t="inlineStr">
        <is>
          <t>.</t>
        </is>
      </c>
      <c r="S7" t="inlineStr">
        <is>
          <t>.</t>
        </is>
      </c>
      <c r="T7" t="inlineStr">
        <is>
          <t>.</t>
        </is>
      </c>
      <c r="U7" t="inlineStr">
        <is>
          <t>.</t>
        </is>
      </c>
      <c r="V7" t="n">
        <v>54837.9</v>
      </c>
      <c r="W7" t="n">
        <v>498324</v>
      </c>
      <c r="X7" t="n">
        <v>30172</v>
      </c>
      <c r="Y7">
        <f>IF(ISNUMBER($W7),$W7,0)</f>
        <v/>
      </c>
      <c r="Z7">
        <f>IF(ISNUMBER(SEARCH("Adjustment",$C7)),"excluded",IF($H7="Behind the Meter","excluded",IF(NOT(OR($E7="Bundled",$E7="Energy")),"excluded",IF(OR($H7="Retail Power Marketer",$H7="Community Choice Aggregator",$E7="Energy"),"procurement",IF(OR($H7="Municipal",$H7="Cooperative",$H7="Federal",$H7="State",$H7="Political Subdivision"),"cost_service",IF($H7="Investor Owned",IF(AND(COUNTIF(Parameters!$A$4:$A$33,$G7)&gt;0,COUNTIF(Parameters!$B$4:$B$33,$B7)=0),"procurement","cost_service"),"unclassified"))))))</f>
        <v/>
      </c>
    </row>
    <row r="8">
      <c r="A8" t="n">
        <v>2024</v>
      </c>
      <c r="B8" t="n">
        <v>11135</v>
      </c>
      <c r="C8" t="inlineStr">
        <is>
          <t>City of Logan - (UT)</t>
        </is>
      </c>
      <c r="D8" t="inlineStr">
        <is>
          <t>A</t>
        </is>
      </c>
      <c r="E8" t="inlineStr">
        <is>
          <t>Bundled</t>
        </is>
      </c>
      <c r="F8" t="inlineStr">
        <is>
          <t>O</t>
        </is>
      </c>
      <c r="G8" t="inlineStr">
        <is>
          <t>UT</t>
        </is>
      </c>
      <c r="H8" t="inlineStr">
        <is>
          <t>Municipal</t>
        </is>
      </c>
      <c r="I8" t="inlineStr">
        <is>
          <t>PACE</t>
        </is>
      </c>
      <c r="J8" t="n">
        <v>15024.3</v>
      </c>
      <c r="K8" t="n">
        <v>117191</v>
      </c>
      <c r="L8" t="n">
        <v>19455</v>
      </c>
      <c r="M8" t="n">
        <v>23039.7</v>
      </c>
      <c r="N8" t="n">
        <v>202490</v>
      </c>
      <c r="O8" t="n">
        <v>2312</v>
      </c>
      <c r="P8" t="n">
        <v>9750.299999999999</v>
      </c>
      <c r="Q8" t="n">
        <v>108086</v>
      </c>
      <c r="R8" t="n">
        <v>7</v>
      </c>
      <c r="S8" t="inlineStr">
        <is>
          <t>.</t>
        </is>
      </c>
      <c r="T8" t="inlineStr">
        <is>
          <t>.</t>
        </is>
      </c>
      <c r="U8" t="inlineStr">
        <is>
          <t>.</t>
        </is>
      </c>
      <c r="V8" t="n">
        <v>47814.3</v>
      </c>
      <c r="W8" t="n">
        <v>427767</v>
      </c>
      <c r="X8" t="n">
        <v>21774</v>
      </c>
      <c r="Y8">
        <f>IF(ISNUMBER($W8),$W8,0)</f>
        <v/>
      </c>
      <c r="Z8">
        <f>IF(ISNUMBER(SEARCH("Adjustment",$C8)),"excluded",IF($H8="Behind the Meter","excluded",IF(NOT(OR($E8="Bundled",$E8="Energy")),"excluded",IF(OR($H8="Retail Power Marketer",$H8="Community Choice Aggregator",$E8="Energy"),"procurement",IF(OR($H8="Municipal",$H8="Cooperative",$H8="Federal",$H8="State",$H8="Political Subdivision"),"cost_service",IF($H8="Investor Owned",IF(AND(COUNTIF(Parameters!$A$4:$A$33,$G8)&gt;0,COUNTIF(Parameters!$B$4:$B$33,$B8)=0),"procurement","cost_service"),"unclassified"))))))</f>
        <v/>
      </c>
    </row>
    <row r="9">
      <c r="A9" t="n">
        <v>2024</v>
      </c>
      <c r="B9" t="n">
        <v>12866</v>
      </c>
      <c r="C9" t="inlineStr">
        <is>
          <t>Moon Lake Electric Assn Inc</t>
        </is>
      </c>
      <c r="D9" t="inlineStr">
        <is>
          <t>A</t>
        </is>
      </c>
      <c r="E9" t="inlineStr">
        <is>
          <t>Bundled</t>
        </is>
      </c>
      <c r="F9" t="inlineStr">
        <is>
          <t>O</t>
        </is>
      </c>
      <c r="G9" t="inlineStr">
        <is>
          <t>UT</t>
        </is>
      </c>
      <c r="H9" t="inlineStr">
        <is>
          <t>Cooperative</t>
        </is>
      </c>
      <c r="I9" t="inlineStr">
        <is>
          <t>WACM</t>
        </is>
      </c>
      <c r="J9" t="n">
        <v>14287</v>
      </c>
      <c r="K9" t="n">
        <v>159125</v>
      </c>
      <c r="L9" t="n">
        <v>13275</v>
      </c>
      <c r="M9" t="n">
        <v>11130.3</v>
      </c>
      <c r="N9" t="n">
        <v>126929</v>
      </c>
      <c r="O9" t="n">
        <v>2781</v>
      </c>
      <c r="P9" t="n">
        <v>32209.1</v>
      </c>
      <c r="Q9" t="n">
        <v>309373</v>
      </c>
      <c r="R9" t="n">
        <v>2094</v>
      </c>
      <c r="S9" t="inlineStr">
        <is>
          <t>.</t>
        </is>
      </c>
      <c r="T9" t="inlineStr">
        <is>
          <t>.</t>
        </is>
      </c>
      <c r="U9" t="inlineStr">
        <is>
          <t>.</t>
        </is>
      </c>
      <c r="V9" t="n">
        <v>57626.4</v>
      </c>
      <c r="W9" t="n">
        <v>595427</v>
      </c>
      <c r="X9" t="n">
        <v>18150</v>
      </c>
      <c r="Y9">
        <f>IF(ISNUMBER($W9),$W9,0)</f>
        <v/>
      </c>
      <c r="Z9">
        <f>IF(ISNUMBER(SEARCH("Adjustment",$C9)),"excluded",IF($H9="Behind the Meter","excluded",IF(NOT(OR($E9="Bundled",$E9="Energy")),"excluded",IF(OR($H9="Retail Power Marketer",$H9="Community Choice Aggregator",$E9="Energy"),"procurement",IF(OR($H9="Municipal",$H9="Cooperative",$H9="Federal",$H9="State",$H9="Political Subdivision"),"cost_service",IF($H9="Investor Owned",IF(AND(COUNTIF(Parameters!$A$4:$A$33,$G9)&gt;0,COUNTIF(Parameters!$B$4:$B$33,$B9)=0),"procurement","cost_service"),"unclassified"))))))</f>
        <v/>
      </c>
    </row>
    <row r="10">
      <c r="A10" t="n">
        <v>2024</v>
      </c>
      <c r="B10" t="n">
        <v>13073</v>
      </c>
      <c r="C10" t="inlineStr">
        <is>
          <t>Mt Wheeler Power, Inc</t>
        </is>
      </c>
      <c r="D10" t="inlineStr">
        <is>
          <t>A</t>
        </is>
      </c>
      <c r="E10" t="inlineStr">
        <is>
          <t>Bundled</t>
        </is>
      </c>
      <c r="F10" t="inlineStr">
        <is>
          <t>O</t>
        </is>
      </c>
      <c r="G10" t="inlineStr">
        <is>
          <t>UT</t>
        </is>
      </c>
      <c r="H10" t="inlineStr">
        <is>
          <t>Cooperative</t>
        </is>
      </c>
      <c r="I10" t="inlineStr">
        <is>
          <t>NEVP</t>
        </is>
      </c>
      <c r="J10" t="n">
        <v>216.1</v>
      </c>
      <c r="K10" t="n">
        <v>2250</v>
      </c>
      <c r="L10" t="n">
        <v>211</v>
      </c>
      <c r="M10" t="n">
        <v>252.9</v>
      </c>
      <c r="N10" t="n">
        <v>2443</v>
      </c>
      <c r="O10" t="n">
        <v>138</v>
      </c>
      <c r="P10" t="n">
        <v>688.5</v>
      </c>
      <c r="Q10" t="n">
        <v>9450</v>
      </c>
      <c r="R10" t="n">
        <v>60</v>
      </c>
      <c r="S10" t="n">
        <v>0</v>
      </c>
      <c r="T10" t="n">
        <v>0</v>
      </c>
      <c r="U10" t="n">
        <v>0</v>
      </c>
      <c r="V10" t="n">
        <v>1157.5</v>
      </c>
      <c r="W10" t="n">
        <v>14143</v>
      </c>
      <c r="X10" t="n">
        <v>409</v>
      </c>
      <c r="Y10">
        <f>IF(ISNUMBER($W10),$W10,0)</f>
        <v/>
      </c>
      <c r="Z10">
        <f>IF(ISNUMBER(SEARCH("Adjustment",$C10)),"excluded",IF($H10="Behind the Meter","excluded",IF(NOT(OR($E10="Bundled",$E10="Energy")),"excluded",IF(OR($H10="Retail Power Marketer",$H10="Community Choice Aggregator",$E10="Energy"),"procurement",IF(OR($H10="Municipal",$H10="Cooperative",$H10="Federal",$H10="State",$H10="Political Subdivision"),"cost_service",IF($H10="Investor Owned",IF(AND(COUNTIF(Parameters!$A$4:$A$33,$G10)&gt;0,COUNTIF(Parameters!$B$4:$B$33,$B10)=0),"procurement","cost_service"),"unclassified"))))))</f>
        <v/>
      </c>
    </row>
    <row r="11">
      <c r="A11" t="n">
        <v>2024</v>
      </c>
      <c r="B11" t="n">
        <v>13137</v>
      </c>
      <c r="C11" t="inlineStr">
        <is>
          <t>City of Murray - (UT)</t>
        </is>
      </c>
      <c r="D11" t="inlineStr">
        <is>
          <t>A</t>
        </is>
      </c>
      <c r="E11" t="inlineStr">
        <is>
          <t>Bundled</t>
        </is>
      </c>
      <c r="F11" t="inlineStr">
        <is>
          <t>O</t>
        </is>
      </c>
      <c r="G11" t="inlineStr">
        <is>
          <t>UT</t>
        </is>
      </c>
      <c r="H11" t="inlineStr">
        <is>
          <t>Municipal</t>
        </is>
      </c>
      <c r="I11" t="inlineStr">
        <is>
          <t>PACE</t>
        </is>
      </c>
      <c r="J11" t="n">
        <v>14005</v>
      </c>
      <c r="K11" t="n">
        <v>126657</v>
      </c>
      <c r="L11" t="n">
        <v>17000</v>
      </c>
      <c r="M11" t="n">
        <v>17805</v>
      </c>
      <c r="N11" t="n">
        <v>224319</v>
      </c>
      <c r="O11" t="n">
        <v>3238</v>
      </c>
      <c r="P11" t="n">
        <v>2599</v>
      </c>
      <c r="Q11" t="n">
        <v>43056</v>
      </c>
      <c r="R11" t="n">
        <v>2</v>
      </c>
      <c r="S11" t="inlineStr">
        <is>
          <t>.</t>
        </is>
      </c>
      <c r="T11" t="inlineStr">
        <is>
          <t>.</t>
        </is>
      </c>
      <c r="U11" t="inlineStr">
        <is>
          <t>.</t>
        </is>
      </c>
      <c r="V11" t="n">
        <v>34409</v>
      </c>
      <c r="W11" t="n">
        <v>394032</v>
      </c>
      <c r="X11" t="n">
        <v>20240</v>
      </c>
      <c r="Y11">
        <f>IF(ISNUMBER($W11),$W11,0)</f>
        <v/>
      </c>
      <c r="Z11">
        <f>IF(ISNUMBER(SEARCH("Adjustment",$C11)),"excluded",IF($H11="Behind the Meter","excluded",IF(NOT(OR($E11="Bundled",$E11="Energy")),"excluded",IF(OR($H11="Retail Power Marketer",$H11="Community Choice Aggregator",$E11="Energy"),"procurement",IF(OR($H11="Municipal",$H11="Cooperative",$H11="Federal",$H11="State",$H11="Political Subdivision"),"cost_service",IF($H11="Investor Owned",IF(AND(COUNTIF(Parameters!$A$4:$A$33,$G11)&gt;0,COUNTIF(Parameters!$B$4:$B$33,$B11)=0),"procurement","cost_service"),"unclassified"))))))</f>
        <v/>
      </c>
    </row>
    <row r="12">
      <c r="A12" t="n">
        <v>2024</v>
      </c>
      <c r="B12" t="n">
        <v>13314</v>
      </c>
      <c r="C12" t="inlineStr">
        <is>
          <t>Navajo Tribal Utility Authority</t>
        </is>
      </c>
      <c r="D12" t="inlineStr">
        <is>
          <t>A</t>
        </is>
      </c>
      <c r="E12" t="inlineStr">
        <is>
          <t>Bundled</t>
        </is>
      </c>
      <c r="F12" t="inlineStr">
        <is>
          <t>O</t>
        </is>
      </c>
      <c r="G12" t="inlineStr">
        <is>
          <t>UT</t>
        </is>
      </c>
      <c r="H12" t="inlineStr">
        <is>
          <t>State</t>
        </is>
      </c>
      <c r="I12" t="inlineStr">
        <is>
          <t>PACE</t>
        </is>
      </c>
      <c r="J12" t="n">
        <v>1711</v>
      </c>
      <c r="K12" t="n">
        <v>12296</v>
      </c>
      <c r="L12" t="n">
        <v>1805</v>
      </c>
      <c r="M12" t="n">
        <v>1916</v>
      </c>
      <c r="N12" t="n">
        <v>13451</v>
      </c>
      <c r="O12" t="n">
        <v>242</v>
      </c>
      <c r="P12" t="n">
        <v>15003</v>
      </c>
      <c r="Q12" t="n">
        <v>291961</v>
      </c>
      <c r="R12" t="n">
        <v>1</v>
      </c>
      <c r="S12" t="n">
        <v>0</v>
      </c>
      <c r="T12" t="n">
        <v>0</v>
      </c>
      <c r="U12" t="n">
        <v>0</v>
      </c>
      <c r="V12" t="n">
        <v>18630</v>
      </c>
      <c r="W12" t="n">
        <v>317708</v>
      </c>
      <c r="X12" t="n">
        <v>2048</v>
      </c>
      <c r="Y12">
        <f>IF(ISNUMBER($W12),$W12,0)</f>
        <v/>
      </c>
      <c r="Z12">
        <f>IF(ISNUMBER(SEARCH("Adjustment",$C12)),"excluded",IF($H12="Behind the Meter","excluded",IF(NOT(OR($E12="Bundled",$E12="Energy")),"excluded",IF(OR($H12="Retail Power Marketer",$H12="Community Choice Aggregator",$E12="Energy"),"procurement",IF(OR($H12="Municipal",$H12="Cooperative",$H12="Federal",$H12="State",$H12="Political Subdivision"),"cost_service",IF($H12="Investor Owned",IF(AND(COUNTIF(Parameters!$A$4:$A$33,$G12)&gt;0,COUNTIF(Parameters!$B$4:$B$33,$B12)=0),"procurement","cost_service"),"unclassified"))))))</f>
        <v/>
      </c>
    </row>
    <row r="13">
      <c r="A13" t="n">
        <v>2024</v>
      </c>
      <c r="B13" t="n">
        <v>14354</v>
      </c>
      <c r="C13" t="inlineStr">
        <is>
          <t>PacifiCorp</t>
        </is>
      </c>
      <c r="D13" t="inlineStr">
        <is>
          <t>A</t>
        </is>
      </c>
      <c r="E13" t="inlineStr">
        <is>
          <t>Bundled</t>
        </is>
      </c>
      <c r="F13" t="inlineStr">
        <is>
          <t>O</t>
        </is>
      </c>
      <c r="G13" t="inlineStr">
        <is>
          <t>UT</t>
        </is>
      </c>
      <c r="H13" t="inlineStr">
        <is>
          <t>Investor Owned</t>
        </is>
      </c>
      <c r="I13" t="inlineStr">
        <is>
          <t>PACE</t>
        </is>
      </c>
      <c r="J13" t="n">
        <v>1078494.4</v>
      </c>
      <c r="K13" t="n">
        <v>8613735</v>
      </c>
      <c r="L13" t="n">
        <v>947246</v>
      </c>
      <c r="M13" t="n">
        <v>1038345.8</v>
      </c>
      <c r="N13" t="n">
        <v>11252182</v>
      </c>
      <c r="O13" t="n">
        <v>100825</v>
      </c>
      <c r="P13" t="n">
        <v>566424</v>
      </c>
      <c r="Q13" t="n">
        <v>7219111</v>
      </c>
      <c r="R13" t="n">
        <v>7931</v>
      </c>
      <c r="S13" t="n">
        <v>6404.8</v>
      </c>
      <c r="T13" t="n">
        <v>53063</v>
      </c>
      <c r="U13" t="n">
        <v>1</v>
      </c>
      <c r="V13" t="n">
        <v>2689669</v>
      </c>
      <c r="W13" t="n">
        <v>27138091</v>
      </c>
      <c r="X13" t="n">
        <v>1056003</v>
      </c>
      <c r="Y13">
        <f>IF(ISNUMBER($W13),$W13,0)</f>
        <v/>
      </c>
      <c r="Z13">
        <f>IF(ISNUMBER(SEARCH("Adjustment",$C13)),"excluded",IF($H13="Behind the Meter","excluded",IF(NOT(OR($E13="Bundled",$E13="Energy")),"excluded",IF(OR($H13="Retail Power Marketer",$H13="Community Choice Aggregator",$E13="Energy"),"procurement",IF(OR($H13="Municipal",$H13="Cooperative",$H13="Federal",$H13="State",$H13="Political Subdivision"),"cost_service",IF($H13="Investor Owned",IF(AND(COUNTIF(Parameters!$A$4:$A$33,$G13)&gt;0,COUNTIF(Parameters!$B$4:$B$33,$B13)=0),"procurement","cost_service"),"unclassified"))))))</f>
        <v/>
      </c>
    </row>
    <row r="14">
      <c r="A14" t="n">
        <v>2024</v>
      </c>
      <c r="B14" t="n">
        <v>15444</v>
      </c>
      <c r="C14" t="inlineStr">
        <is>
          <t>Provo City Corp</t>
        </is>
      </c>
      <c r="D14" t="inlineStr">
        <is>
          <t>A</t>
        </is>
      </c>
      <c r="E14" t="inlineStr">
        <is>
          <t>Bundled</t>
        </is>
      </c>
      <c r="F14" t="inlineStr">
        <is>
          <t>O</t>
        </is>
      </c>
      <c r="G14" t="inlineStr">
        <is>
          <t>UT</t>
        </is>
      </c>
      <c r="H14" t="inlineStr">
        <is>
          <t>Municipal</t>
        </is>
      </c>
      <c r="I14" t="inlineStr">
        <is>
          <t>PACE</t>
        </is>
      </c>
      <c r="J14" t="n">
        <v>29407.8</v>
      </c>
      <c r="K14" t="n">
        <v>258209</v>
      </c>
      <c r="L14" t="n">
        <v>35299</v>
      </c>
      <c r="M14" t="n">
        <v>35845.5</v>
      </c>
      <c r="N14" t="n">
        <v>384365</v>
      </c>
      <c r="O14" t="n">
        <v>4757</v>
      </c>
      <c r="P14" t="n">
        <v>8895.700000000001</v>
      </c>
      <c r="Q14" t="n">
        <v>132797</v>
      </c>
      <c r="R14" t="n">
        <v>1</v>
      </c>
      <c r="S14" t="n">
        <v>0</v>
      </c>
      <c r="T14" t="n">
        <v>0</v>
      </c>
      <c r="U14" t="n">
        <v>0</v>
      </c>
      <c r="V14" t="n">
        <v>74149</v>
      </c>
      <c r="W14" t="n">
        <v>775371</v>
      </c>
      <c r="X14" t="n">
        <v>40057</v>
      </c>
      <c r="Y14">
        <f>IF(ISNUMBER($W14),$W14,0)</f>
        <v/>
      </c>
      <c r="Z14">
        <f>IF(ISNUMBER(SEARCH("Adjustment",$C14)),"excluded",IF($H14="Behind the Meter","excluded",IF(NOT(OR($E14="Bundled",$E14="Energy")),"excluded",IF(OR($H14="Retail Power Marketer",$H14="Community Choice Aggregator",$E14="Energy"),"procurement",IF(OR($H14="Municipal",$H14="Cooperative",$H14="Federal",$H14="State",$H14="Political Subdivision"),"cost_service",IF($H14="Investor Owned",IF(AND(COUNTIF(Parameters!$A$4:$A$33,$G14)&gt;0,COUNTIF(Parameters!$B$4:$B$33,$B14)=0),"procurement","cost_service"),"unclassified"))))))</f>
        <v/>
      </c>
    </row>
    <row r="15">
      <c r="A15" t="n">
        <v>2024</v>
      </c>
      <c r="B15" t="n">
        <v>17732</v>
      </c>
      <c r="C15" t="inlineStr">
        <is>
          <t>Spanish Fork City Corporation</t>
        </is>
      </c>
      <c r="D15" t="inlineStr">
        <is>
          <t>A</t>
        </is>
      </c>
      <c r="E15" t="inlineStr">
        <is>
          <t>Bundled</t>
        </is>
      </c>
      <c r="F15" t="inlineStr">
        <is>
          <t>O</t>
        </is>
      </c>
      <c r="G15" t="inlineStr">
        <is>
          <t>UT</t>
        </is>
      </c>
      <c r="H15" t="inlineStr">
        <is>
          <t>Municipal</t>
        </is>
      </c>
      <c r="I15" t="inlineStr">
        <is>
          <t>PACE</t>
        </is>
      </c>
      <c r="J15" t="n">
        <v>13461</v>
      </c>
      <c r="K15" t="n">
        <v>133336</v>
      </c>
      <c r="L15" t="n">
        <v>13988</v>
      </c>
      <c r="M15" t="n">
        <v>11025</v>
      </c>
      <c r="N15" t="n">
        <v>117231</v>
      </c>
      <c r="O15" t="n">
        <v>2143</v>
      </c>
      <c r="P15" t="n">
        <v>3864</v>
      </c>
      <c r="Q15" t="n">
        <v>57312</v>
      </c>
      <c r="R15" t="n">
        <v>11</v>
      </c>
      <c r="S15" t="n">
        <v>0</v>
      </c>
      <c r="T15" t="n">
        <v>0</v>
      </c>
      <c r="U15" t="n">
        <v>0</v>
      </c>
      <c r="V15" t="n">
        <v>28350</v>
      </c>
      <c r="W15" t="n">
        <v>307879</v>
      </c>
      <c r="X15" t="n">
        <v>16142</v>
      </c>
      <c r="Y15">
        <f>IF(ISNUMBER($W15),$W15,0)</f>
        <v/>
      </c>
      <c r="Z15">
        <f>IF(ISNUMBER(SEARCH("Adjustment",$C15)),"excluded",IF($H15="Behind the Meter","excluded",IF(NOT(OR($E15="Bundled",$E15="Energy")),"excluded",IF(OR($H15="Retail Power Marketer",$H15="Community Choice Aggregator",$E15="Energy"),"procurement",IF(OR($H15="Municipal",$H15="Cooperative",$H15="Federal",$H15="State",$H15="Political Subdivision"),"cost_service",IF($H15="Investor Owned",IF(AND(COUNTIF(Parameters!$A$4:$A$33,$G15)&gt;0,COUNTIF(Parameters!$B$4:$B$33,$B15)=0),"procurement","cost_service"),"unclassified"))))))</f>
        <v/>
      </c>
    </row>
    <row r="16">
      <c r="A16" t="n">
        <v>2024</v>
      </c>
      <c r="B16" t="n">
        <v>17845</v>
      </c>
      <c r="C16" t="inlineStr">
        <is>
          <t>City of Springville - (UT)</t>
        </is>
      </c>
      <c r="D16" t="inlineStr">
        <is>
          <t>A</t>
        </is>
      </c>
      <c r="E16" t="inlineStr">
        <is>
          <t>Bundled</t>
        </is>
      </c>
      <c r="F16" t="inlineStr">
        <is>
          <t>O</t>
        </is>
      </c>
      <c r="G16" t="inlineStr">
        <is>
          <t>UT</t>
        </is>
      </c>
      <c r="H16" t="inlineStr">
        <is>
          <t>Municipal</t>
        </is>
      </c>
      <c r="I16" t="inlineStr">
        <is>
          <t>PACE</t>
        </is>
      </c>
      <c r="J16" t="n">
        <v>13120.4</v>
      </c>
      <c r="K16" t="n">
        <v>102925</v>
      </c>
      <c r="L16" t="n">
        <v>10852</v>
      </c>
      <c r="M16" t="n">
        <v>13221.1</v>
      </c>
      <c r="N16" t="n">
        <v>113685</v>
      </c>
      <c r="O16" t="n">
        <v>1512</v>
      </c>
      <c r="P16" t="n">
        <v>6980.9</v>
      </c>
      <c r="Q16" t="n">
        <v>77961</v>
      </c>
      <c r="R16" t="n">
        <v>2</v>
      </c>
      <c r="S16" t="inlineStr">
        <is>
          <t>.</t>
        </is>
      </c>
      <c r="T16" t="inlineStr">
        <is>
          <t>.</t>
        </is>
      </c>
      <c r="U16" t="inlineStr">
        <is>
          <t>.</t>
        </is>
      </c>
      <c r="V16" t="n">
        <v>33322.4</v>
      </c>
      <c r="W16" t="n">
        <v>294571</v>
      </c>
      <c r="X16" t="n">
        <v>12366</v>
      </c>
      <c r="Y16">
        <f>IF(ISNUMBER($W16),$W16,0)</f>
        <v/>
      </c>
      <c r="Z16">
        <f>IF(ISNUMBER(SEARCH("Adjustment",$C16)),"excluded",IF($H16="Behind the Meter","excluded",IF(NOT(OR($E16="Bundled",$E16="Energy")),"excluded",IF(OR($H16="Retail Power Marketer",$H16="Community Choice Aggregator",$E16="Energy"),"procurement",IF(OR($H16="Municipal",$H16="Cooperative",$H16="Federal",$H16="State",$H16="Political Subdivision"),"cost_service",IF($H16="Investor Owned",IF(AND(COUNTIF(Parameters!$A$4:$A$33,$G16)&gt;0,COUNTIF(Parameters!$B$4:$B$33,$B16)=0),"procurement","cost_service"),"unclassified"))))))</f>
        <v/>
      </c>
    </row>
    <row r="17">
      <c r="A17" t="n">
        <v>2024</v>
      </c>
      <c r="B17" t="n">
        <v>17874</v>
      </c>
      <c r="C17" t="inlineStr">
        <is>
          <t>City of St George</t>
        </is>
      </c>
      <c r="D17" t="inlineStr">
        <is>
          <t>A</t>
        </is>
      </c>
      <c r="E17" t="inlineStr">
        <is>
          <t>Bundled</t>
        </is>
      </c>
      <c r="F17" t="inlineStr">
        <is>
          <t>O</t>
        </is>
      </c>
      <c r="G17" t="inlineStr">
        <is>
          <t>UT</t>
        </is>
      </c>
      <c r="H17" t="inlineStr">
        <is>
          <t>Municipal</t>
        </is>
      </c>
      <c r="I17" t="inlineStr">
        <is>
          <t>PACE</t>
        </is>
      </c>
      <c r="J17" t="n">
        <v>38198.4</v>
      </c>
      <c r="K17" t="n">
        <v>335123</v>
      </c>
      <c r="L17" t="n">
        <v>28436</v>
      </c>
      <c r="M17" t="n">
        <v>37972.1</v>
      </c>
      <c r="N17" t="n">
        <v>381696</v>
      </c>
      <c r="O17" t="n">
        <v>5097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76170.5</v>
      </c>
      <c r="W17" t="n">
        <v>716819</v>
      </c>
      <c r="X17" t="n">
        <v>33533</v>
      </c>
      <c r="Y17">
        <f>IF(ISNUMBER($W17),$W17,0)</f>
        <v/>
      </c>
      <c r="Z17">
        <f>IF(ISNUMBER(SEARCH("Adjustment",$C17)),"excluded",IF($H17="Behind the Meter","excluded",IF(NOT(OR($E17="Bundled",$E17="Energy")),"excluded",IF(OR($H17="Retail Power Marketer",$H17="Community Choice Aggregator",$E17="Energy"),"procurement",IF(OR($H17="Municipal",$H17="Cooperative",$H17="Federal",$H17="State",$H17="Political Subdivision"),"cost_service",IF($H17="Investor Owned",IF(AND(COUNTIF(Parameters!$A$4:$A$33,$G17)&gt;0,COUNTIF(Parameters!$B$4:$B$33,$B17)=0),"procurement","cost_service"),"unclassified"))))))</f>
        <v/>
      </c>
    </row>
    <row r="18">
      <c r="A18" t="n">
        <v>2024</v>
      </c>
      <c r="B18" t="n">
        <v>18206</v>
      </c>
      <c r="C18" t="inlineStr">
        <is>
          <t>Strawberry Electric Serv Dist</t>
        </is>
      </c>
      <c r="D18" t="inlineStr">
        <is>
          <t>A</t>
        </is>
      </c>
      <c r="E18" t="inlineStr">
        <is>
          <t>Bundled</t>
        </is>
      </c>
      <c r="F18" t="inlineStr">
        <is>
          <t>O</t>
        </is>
      </c>
      <c r="G18" t="inlineStr">
        <is>
          <t>UT</t>
        </is>
      </c>
      <c r="H18" t="inlineStr">
        <is>
          <t>Political Subdivision</t>
        </is>
      </c>
      <c r="I18" t="inlineStr">
        <is>
          <t>PACE</t>
        </is>
      </c>
      <c r="J18" t="n">
        <v>7573.3</v>
      </c>
      <c r="K18" t="n">
        <v>49963</v>
      </c>
      <c r="L18" t="n">
        <v>3593</v>
      </c>
      <c r="M18" t="n">
        <v>1674</v>
      </c>
      <c r="N18" t="n">
        <v>10455</v>
      </c>
      <c r="O18" t="n">
        <v>452</v>
      </c>
      <c r="P18" t="n">
        <v>382.2</v>
      </c>
      <c r="Q18" t="n">
        <v>2925</v>
      </c>
      <c r="R18" t="n">
        <v>27</v>
      </c>
      <c r="S18" t="n">
        <v>0</v>
      </c>
      <c r="T18" t="n">
        <v>0</v>
      </c>
      <c r="U18" t="n">
        <v>0</v>
      </c>
      <c r="V18" t="n">
        <v>9629.5</v>
      </c>
      <c r="W18" t="n">
        <v>63343</v>
      </c>
      <c r="X18" t="n">
        <v>4072</v>
      </c>
      <c r="Y18">
        <f>IF(ISNUMBER($W18),$W18,0)</f>
        <v/>
      </c>
      <c r="Z18">
        <f>IF(ISNUMBER(SEARCH("Adjustment",$C18)),"excluded",IF($H18="Behind the Meter","excluded",IF(NOT(OR($E18="Bundled",$E18="Energy")),"excluded",IF(OR($H18="Retail Power Marketer",$H18="Community Choice Aggregator",$E18="Energy"),"procurement",IF(OR($H18="Municipal",$H18="Cooperative",$H18="Federal",$H18="State",$H18="Political Subdivision"),"cost_service",IF($H18="Investor Owned",IF(AND(COUNTIF(Parameters!$A$4:$A$33,$G18)&gt;0,COUNTIF(Parameters!$B$4:$B$33,$B18)=0),"procurement","cost_service"),"unclassified"))))))</f>
        <v/>
      </c>
    </row>
    <row r="19">
      <c r="A19" t="n">
        <v>2024</v>
      </c>
      <c r="B19" t="n">
        <v>20332</v>
      </c>
      <c r="C19" t="inlineStr">
        <is>
          <t>Wells Rural Electric Co</t>
        </is>
      </c>
      <c r="D19" t="inlineStr">
        <is>
          <t>A</t>
        </is>
      </c>
      <c r="E19" t="inlineStr">
        <is>
          <t>Bundled</t>
        </is>
      </c>
      <c r="F19" t="inlineStr">
        <is>
          <t>O</t>
        </is>
      </c>
      <c r="G19" t="inlineStr">
        <is>
          <t>UT</t>
        </is>
      </c>
      <c r="H19" t="inlineStr">
        <is>
          <t>Cooperative</t>
        </is>
      </c>
      <c r="I19" t="inlineStr">
        <is>
          <t>NEVP</t>
        </is>
      </c>
      <c r="J19" t="n">
        <v>584.7</v>
      </c>
      <c r="K19" t="n">
        <v>5536</v>
      </c>
      <c r="L19" t="n">
        <v>510</v>
      </c>
      <c r="M19" t="n">
        <v>1054.7</v>
      </c>
      <c r="N19" t="n">
        <v>11084</v>
      </c>
      <c r="O19" t="n">
        <v>204</v>
      </c>
      <c r="P19" t="n">
        <v>1159</v>
      </c>
      <c r="Q19" t="n">
        <v>18542</v>
      </c>
      <c r="R19" t="n">
        <v>4</v>
      </c>
      <c r="S19" t="inlineStr">
        <is>
          <t>.</t>
        </is>
      </c>
      <c r="T19" t="inlineStr">
        <is>
          <t>.</t>
        </is>
      </c>
      <c r="U19" t="inlineStr">
        <is>
          <t>.</t>
        </is>
      </c>
      <c r="V19" t="n">
        <v>2798.4</v>
      </c>
      <c r="W19" t="n">
        <v>35162</v>
      </c>
      <c r="X19" t="n">
        <v>718</v>
      </c>
      <c r="Y19">
        <f>IF(ISNUMBER($W19),$W19,0)</f>
        <v/>
      </c>
      <c r="Z19">
        <f>IF(ISNUMBER(SEARCH("Adjustment",$C19)),"excluded",IF($H19="Behind the Meter","excluded",IF(NOT(OR($E19="Bundled",$E19="Energy")),"excluded",IF(OR($H19="Retail Power Marketer",$H19="Community Choice Aggregator",$E19="Energy"),"procurement",IF(OR($H19="Municipal",$H19="Cooperative",$H19="Federal",$H19="State",$H19="Political Subdivision"),"cost_service",IF($H19="Investor Owned",IF(AND(COUNTIF(Parameters!$A$4:$A$33,$G19)&gt;0,COUNTIF(Parameters!$B$4:$B$33,$B19)=0),"procurement","cost_service"),"unclassified"))))))</f>
        <v/>
      </c>
    </row>
    <row r="20">
      <c r="A20" t="n">
        <v>2024</v>
      </c>
      <c r="B20" t="n">
        <v>22814</v>
      </c>
      <c r="C20" t="inlineStr">
        <is>
          <t>Raft Rural Elec Coop Inc</t>
        </is>
      </c>
      <c r="D20" t="inlineStr">
        <is>
          <t>A</t>
        </is>
      </c>
      <c r="E20" t="inlineStr">
        <is>
          <t>Bundled</t>
        </is>
      </c>
      <c r="F20" t="inlineStr">
        <is>
          <t>O</t>
        </is>
      </c>
      <c r="G20" t="inlineStr">
        <is>
          <t>UT</t>
        </is>
      </c>
      <c r="H20" t="inlineStr">
        <is>
          <t>Cooperative</t>
        </is>
      </c>
      <c r="I20" t="inlineStr">
        <is>
          <t>BPAT</t>
        </is>
      </c>
      <c r="J20" t="n">
        <v>503</v>
      </c>
      <c r="K20" t="n">
        <v>5005</v>
      </c>
      <c r="L20" t="n">
        <v>381</v>
      </c>
      <c r="M20" t="n">
        <v>193</v>
      </c>
      <c r="N20" t="n">
        <v>2714</v>
      </c>
      <c r="O20" t="n">
        <v>69</v>
      </c>
      <c r="P20" t="n">
        <v>1525</v>
      </c>
      <c r="Q20" t="n">
        <v>29752</v>
      </c>
      <c r="R20" t="n">
        <v>299</v>
      </c>
      <c r="S20" t="n">
        <v>0</v>
      </c>
      <c r="T20" t="n">
        <v>0</v>
      </c>
      <c r="U20" t="n">
        <v>0</v>
      </c>
      <c r="V20" t="n">
        <v>2221</v>
      </c>
      <c r="W20" t="n">
        <v>37471</v>
      </c>
      <c r="X20" t="n">
        <v>749</v>
      </c>
      <c r="Y20">
        <f>IF(ISNUMBER($W20),$W20,0)</f>
        <v/>
      </c>
      <c r="Z20">
        <f>IF(ISNUMBER(SEARCH("Adjustment",$C20)),"excluded",IF($H20="Behind the Meter","excluded",IF(NOT(OR($E20="Bundled",$E20="Energy")),"excluded",IF(OR($H20="Retail Power Marketer",$H20="Community Choice Aggregator",$E20="Energy"),"procurement",IF(OR($H20="Municipal",$H20="Cooperative",$H20="Federal",$H20="State",$H20="Political Subdivision"),"cost_service",IF($H20="Investor Owned",IF(AND(COUNTIF(Parameters!$A$4:$A$33,$G20)&gt;0,COUNTIF(Parameters!$B$4:$B$33,$B20)=0),"procurement","cost_service"),"unclassified"))))))</f>
        <v/>
      </c>
    </row>
    <row r="21">
      <c r="A21" t="n">
        <v>2024</v>
      </c>
      <c r="B21" t="n">
        <v>27000</v>
      </c>
      <c r="C21" t="inlineStr">
        <is>
          <t>WAPA-- Western Area Power Administration</t>
        </is>
      </c>
      <c r="D21" t="inlineStr">
        <is>
          <t>A</t>
        </is>
      </c>
      <c r="E21" t="inlineStr">
        <is>
          <t>Bundled</t>
        </is>
      </c>
      <c r="F21" t="inlineStr">
        <is>
          <t>O</t>
        </is>
      </c>
      <c r="G21" t="inlineStr">
        <is>
          <t>UT</t>
        </is>
      </c>
      <c r="H21" t="inlineStr">
        <is>
          <t>Federal</t>
        </is>
      </c>
      <c r="I21" t="inlineStr">
        <is>
          <t>WALC</t>
        </is>
      </c>
      <c r="J21" t="n">
        <v>0</v>
      </c>
      <c r="K21" t="n">
        <v>0</v>
      </c>
      <c r="L21" t="n">
        <v>0</v>
      </c>
      <c r="M21" t="n">
        <v>1154</v>
      </c>
      <c r="N21" t="n">
        <v>34308</v>
      </c>
      <c r="O21" t="n">
        <v>5</v>
      </c>
      <c r="P21" t="n">
        <v>72.7</v>
      </c>
      <c r="Q21" t="n">
        <v>2376</v>
      </c>
      <c r="R21" t="n">
        <v>1</v>
      </c>
      <c r="S21" t="n">
        <v>0</v>
      </c>
      <c r="T21" t="n">
        <v>0</v>
      </c>
      <c r="U21" t="n">
        <v>0</v>
      </c>
      <c r="V21" t="n">
        <v>1226.7</v>
      </c>
      <c r="W21" t="n">
        <v>36684</v>
      </c>
      <c r="X21" t="n">
        <v>6</v>
      </c>
      <c r="Y21">
        <f>IF(ISNUMBER($W21),$W21,0)</f>
        <v/>
      </c>
      <c r="Z21">
        <f>IF(ISNUMBER(SEARCH("Adjustment",$C21)),"excluded",IF($H21="Behind the Meter","excluded",IF(NOT(OR($E21="Bundled",$E21="Energy")),"excluded",IF(OR($H21="Retail Power Marketer",$H21="Community Choice Aggregator",$E21="Energy"),"procurement",IF(OR($H21="Municipal",$H21="Cooperative",$H21="Federal",$H21="State",$H21="Political Subdivision"),"cost_service",IF($H21="Investor Owned",IF(AND(COUNTIF(Parameters!$A$4:$A$33,$G21)&gt;0,COUNTIF(Parameters!$B$4:$B$33,$B21)=0),"procurement","cost_service"),"unclassified"))))))</f>
        <v/>
      </c>
    </row>
    <row r="22">
      <c r="A22" t="n">
        <v>2024</v>
      </c>
      <c r="B22" t="n">
        <v>40165</v>
      </c>
      <c r="C22" t="inlineStr">
        <is>
          <t>Dixie Escalante R E A, Inc</t>
        </is>
      </c>
      <c r="D22" t="inlineStr">
        <is>
          <t>A</t>
        </is>
      </c>
      <c r="E22" t="inlineStr">
        <is>
          <t>Bundled</t>
        </is>
      </c>
      <c r="F22" t="inlineStr">
        <is>
          <t>O</t>
        </is>
      </c>
      <c r="G22" t="inlineStr">
        <is>
          <t>UT</t>
        </is>
      </c>
      <c r="H22" t="inlineStr">
        <is>
          <t>Cooperative</t>
        </is>
      </c>
      <c r="I22" t="inlineStr">
        <is>
          <t>PACE</t>
        </is>
      </c>
      <c r="J22" t="n">
        <v>40247.3</v>
      </c>
      <c r="K22" t="n">
        <v>451026</v>
      </c>
      <c r="L22" t="n">
        <v>26906</v>
      </c>
      <c r="M22" t="n">
        <v>16633.3</v>
      </c>
      <c r="N22" t="n">
        <v>231816</v>
      </c>
      <c r="O22" t="n">
        <v>3032</v>
      </c>
      <c r="P22" t="n">
        <v>1595.1</v>
      </c>
      <c r="Q22" t="n">
        <v>22953</v>
      </c>
      <c r="R22" t="n">
        <v>1</v>
      </c>
      <c r="S22" t="inlineStr">
        <is>
          <t>.</t>
        </is>
      </c>
      <c r="T22" t="inlineStr">
        <is>
          <t>.</t>
        </is>
      </c>
      <c r="U22" t="inlineStr">
        <is>
          <t>.</t>
        </is>
      </c>
      <c r="V22" t="n">
        <v>58475.7</v>
      </c>
      <c r="W22" t="n">
        <v>705795</v>
      </c>
      <c r="X22" t="n">
        <v>29939</v>
      </c>
      <c r="Y22">
        <f>IF(ISNUMBER($W22),$W22,0)</f>
        <v/>
      </c>
      <c r="Z22">
        <f>IF(ISNUMBER(SEARCH("Adjustment",$C22)),"excluded",IF($H22="Behind the Meter","excluded",IF(NOT(OR($E22="Bundled",$E22="Energy")),"excluded",IF(OR($H22="Retail Power Marketer",$H22="Community Choice Aggregator",$E22="Energy"),"procurement",IF(OR($H22="Municipal",$H22="Cooperative",$H22="Federal",$H22="State",$H22="Political Subdivision"),"cost_service",IF($H22="Investor Owned",IF(AND(COUNTIF(Parameters!$A$4:$A$33,$G22)&gt;0,COUNTIF(Parameters!$B$4:$B$33,$B22)=0),"procurement","cost_service"),"unclassified"))))))</f>
        <v/>
      </c>
    </row>
    <row r="23">
      <c r="A23" t="n">
        <v>2024</v>
      </c>
      <c r="B23" t="n">
        <v>57313</v>
      </c>
      <c r="C23" t="inlineStr">
        <is>
          <t>Tesla Inc.</t>
        </is>
      </c>
      <c r="D23" t="inlineStr">
        <is>
          <t>A</t>
        </is>
      </c>
      <c r="E23" t="inlineStr">
        <is>
          <t>Bundled</t>
        </is>
      </c>
      <c r="F23" t="inlineStr">
        <is>
          <t>O</t>
        </is>
      </c>
      <c r="G23" t="inlineStr">
        <is>
          <t>UT</t>
        </is>
      </c>
      <c r="H23" t="inlineStr">
        <is>
          <t>Behind the Meter</t>
        </is>
      </c>
      <c r="I23" t="inlineStr">
        <is>
          <t>PACE</t>
        </is>
      </c>
      <c r="J23" t="n">
        <v>2</v>
      </c>
      <c r="K23" t="n">
        <v>11</v>
      </c>
      <c r="L23" t="n">
        <v>1</v>
      </c>
      <c r="M23" t="n">
        <v>178</v>
      </c>
      <c r="N23" t="n">
        <v>2959</v>
      </c>
      <c r="O23" t="n">
        <v>4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180</v>
      </c>
      <c r="W23" t="n">
        <v>2970</v>
      </c>
      <c r="X23" t="n">
        <v>5</v>
      </c>
      <c r="Y23">
        <f>IF(ISNUMBER($W23),$W23,0)</f>
        <v/>
      </c>
      <c r="Z23">
        <f>IF(ISNUMBER(SEARCH("Adjustment",$C23)),"excluded",IF($H23="Behind the Meter","excluded",IF(NOT(OR($E23="Bundled",$E23="Energy")),"excluded",IF(OR($H23="Retail Power Marketer",$H23="Community Choice Aggregator",$E23="Energy"),"procurement",IF(OR($H23="Municipal",$H23="Cooperative",$H23="Federal",$H23="State",$H23="Political Subdivision"),"cost_service",IF($H23="Investor Owned",IF(AND(COUNTIF(Parameters!$A$4:$A$33,$G23)&gt;0,COUNTIF(Parameters!$B$4:$B$33,$B23)=0),"procurement","cost_service"),"unclassified"))))))</f>
        <v/>
      </c>
    </row>
    <row r="24">
      <c r="A24" t="n">
        <v>2024</v>
      </c>
      <c r="B24" t="n">
        <v>59579</v>
      </c>
      <c r="C24" t="inlineStr">
        <is>
          <t>Sunnova</t>
        </is>
      </c>
      <c r="D24" t="inlineStr">
        <is>
          <t>A</t>
        </is>
      </c>
      <c r="E24" t="inlineStr">
        <is>
          <t>Bundled</t>
        </is>
      </c>
      <c r="F24" t="inlineStr">
        <is>
          <t>O</t>
        </is>
      </c>
      <c r="G24" t="inlineStr">
        <is>
          <t>UT</t>
        </is>
      </c>
      <c r="H24" t="inlineStr">
        <is>
          <t>Behind the Meter</t>
        </is>
      </c>
      <c r="I24" t="inlineStr">
        <is>
          <t>BPAT</t>
        </is>
      </c>
      <c r="J24" t="n">
        <v>1.5</v>
      </c>
      <c r="K24" t="n">
        <v>6</v>
      </c>
      <c r="L24" t="n">
        <v>2</v>
      </c>
      <c r="M24" t="inlineStr">
        <is>
          <t>.</t>
        </is>
      </c>
      <c r="N24" t="inlineStr">
        <is>
          <t>.</t>
        </is>
      </c>
      <c r="O24" t="inlineStr">
        <is>
          <t>.</t>
        </is>
      </c>
      <c r="P24" t="inlineStr">
        <is>
          <t>.</t>
        </is>
      </c>
      <c r="Q24" t="inlineStr">
        <is>
          <t>.</t>
        </is>
      </c>
      <c r="R24" t="inlineStr">
        <is>
          <t>.</t>
        </is>
      </c>
      <c r="S24" t="inlineStr">
        <is>
          <t>.</t>
        </is>
      </c>
      <c r="T24" t="inlineStr">
        <is>
          <t>.</t>
        </is>
      </c>
      <c r="U24" t="inlineStr">
        <is>
          <t>.</t>
        </is>
      </c>
      <c r="V24" t="n">
        <v>1.5</v>
      </c>
      <c r="W24" t="n">
        <v>6</v>
      </c>
      <c r="X24" t="n">
        <v>2</v>
      </c>
      <c r="Y24">
        <f>IF(ISNUMBER($W24),$W24,0)</f>
        <v/>
      </c>
      <c r="Z24">
        <f>IF(ISNUMBER(SEARCH("Adjustment",$C24)),"excluded",IF($H24="Behind the Meter","excluded",IF(NOT(OR($E24="Bundled",$E24="Energy")),"excluded",IF(OR($H24="Retail Power Marketer",$H24="Community Choice Aggregator",$E24="Energy"),"procurement",IF(OR($H24="Municipal",$H24="Cooperative",$H24="Federal",$H24="State",$H24="Political Subdivision"),"cost_service",IF($H24="Investor Owned",IF(AND(COUNTIF(Parameters!$A$4:$A$33,$G24)&gt;0,COUNTIF(Parameters!$B$4:$B$33,$B24)=0),"procurement","cost_service"),"unclassified"))))))</f>
        <v/>
      </c>
    </row>
    <row r="25">
      <c r="A25" t="n">
        <v>2024</v>
      </c>
      <c r="B25" t="n">
        <v>59647</v>
      </c>
      <c r="C25" t="inlineStr">
        <is>
          <t>Sunrun Inc.</t>
        </is>
      </c>
      <c r="D25" t="inlineStr">
        <is>
          <t>A</t>
        </is>
      </c>
      <c r="E25" t="inlineStr">
        <is>
          <t>Bundled</t>
        </is>
      </c>
      <c r="F25" t="inlineStr">
        <is>
          <t>O</t>
        </is>
      </c>
      <c r="G25" t="inlineStr">
        <is>
          <t>UT</t>
        </is>
      </c>
      <c r="H25" t="inlineStr">
        <is>
          <t>Behind the Meter</t>
        </is>
      </c>
      <c r="I25" t="inlineStr">
        <is>
          <t>PACE</t>
        </is>
      </c>
      <c r="J25" t="n">
        <v>811.6</v>
      </c>
      <c r="K25" t="n">
        <v>6208</v>
      </c>
      <c r="L25" t="n">
        <v>729</v>
      </c>
      <c r="M25" t="inlineStr">
        <is>
          <t>.</t>
        </is>
      </c>
      <c r="N25" t="inlineStr">
        <is>
          <t>.</t>
        </is>
      </c>
      <c r="O25" t="inlineStr">
        <is>
          <t>.</t>
        </is>
      </c>
      <c r="P25" t="inlineStr">
        <is>
          <t>.</t>
        </is>
      </c>
      <c r="Q25" t="inlineStr">
        <is>
          <t>.</t>
        </is>
      </c>
      <c r="R25" t="inlineStr">
        <is>
          <t>.</t>
        </is>
      </c>
      <c r="S25" t="inlineStr">
        <is>
          <t>.</t>
        </is>
      </c>
      <c r="T25" t="inlineStr">
        <is>
          <t>.</t>
        </is>
      </c>
      <c r="U25" t="inlineStr">
        <is>
          <t>.</t>
        </is>
      </c>
      <c r="V25" t="n">
        <v>811.6</v>
      </c>
      <c r="W25" t="n">
        <v>6208</v>
      </c>
      <c r="X25" t="n">
        <v>729</v>
      </c>
      <c r="Y25">
        <f>IF(ISNUMBER($W25),$W25,0)</f>
        <v/>
      </c>
      <c r="Z25">
        <f>IF(ISNUMBER(SEARCH("Adjustment",$C25)),"excluded",IF($H25="Behind the Meter","excluded",IF(NOT(OR($E25="Bundled",$E25="Energy")),"excluded",IF(OR($H25="Retail Power Marketer",$H25="Community Choice Aggregator",$E25="Energy"),"procurement",IF(OR($H25="Municipal",$H25="Cooperative",$H25="Federal",$H25="State",$H25="Political Subdivision"),"cost_service",IF($H25="Investor Owned",IF(AND(COUNTIF(Parameters!$A$4:$A$33,$G25)&gt;0,COUNTIF(Parameters!$B$4:$B$33,$B25)=0),"procurement","cost_service"),"unclassified"))))))</f>
        <v/>
      </c>
    </row>
    <row r="26">
      <c r="A26" t="n">
        <v>2024</v>
      </c>
      <c r="B26" t="n">
        <v>99999</v>
      </c>
      <c r="C26" t="inlineStr">
        <is>
          <t>Adjustment 2024</t>
        </is>
      </c>
      <c r="D26" t="inlineStr">
        <is>
          <t>A</t>
        </is>
      </c>
      <c r="E26" t="inlineStr">
        <is>
          <t>Bundled</t>
        </is>
      </c>
      <c r="F26" t="inlineStr">
        <is>
          <t>I</t>
        </is>
      </c>
      <c r="G26" t="inlineStr">
        <is>
          <t>UT</t>
        </is>
      </c>
      <c r="H26" t="inlineStr"/>
      <c r="I26" t="inlineStr">
        <is>
          <t>BPAT</t>
        </is>
      </c>
      <c r="J26" t="n">
        <v>0</v>
      </c>
      <c r="K26" t="n">
        <v>0</v>
      </c>
      <c r="L26" t="n">
        <v>-2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-2</v>
      </c>
      <c r="Y26">
        <f>IF(ISNUMBER($W26),$W26,0)</f>
        <v/>
      </c>
      <c r="Z26">
        <f>IF(ISNUMBER(SEARCH("Adjustment",$C26)),"excluded",IF($H26="Behind the Meter","excluded",IF(NOT(OR($E26="Bundled",$E26="Energy")),"excluded",IF(OR($H26="Retail Power Marketer",$H26="Community Choice Aggregator",$E26="Energy"),"procurement",IF(OR($H26="Municipal",$H26="Cooperative",$H26="Federal",$H26="State",$H26="Political Subdivision"),"cost_service",IF($H26="Investor Owned",IF(AND(COUNTIF(Parameters!$A$4:$A$33,$G26)&gt;0,COUNTIF(Parameters!$B$4:$B$33,$B26)=0),"procurement","cost_service"),"unclassified"))))))</f>
        <v/>
      </c>
    </row>
    <row r="27">
      <c r="A27" t="n">
        <v>2024</v>
      </c>
      <c r="B27" t="n">
        <v>99999</v>
      </c>
      <c r="C27" t="inlineStr">
        <is>
          <t>Adjustment 2024</t>
        </is>
      </c>
      <c r="D27" t="inlineStr">
        <is>
          <t>A</t>
        </is>
      </c>
      <c r="E27" t="inlineStr">
        <is>
          <t>Bundled</t>
        </is>
      </c>
      <c r="F27" t="inlineStr">
        <is>
          <t>I</t>
        </is>
      </c>
      <c r="G27" t="inlineStr">
        <is>
          <t>UT</t>
        </is>
      </c>
      <c r="H27" t="inlineStr"/>
      <c r="I27" t="inlineStr">
        <is>
          <t>PACE</t>
        </is>
      </c>
      <c r="J27" t="n">
        <v>109450.4</v>
      </c>
      <c r="K27" t="n">
        <v>877343</v>
      </c>
      <c r="L27" t="n">
        <v>95416</v>
      </c>
      <c r="M27" t="n">
        <v>65421</v>
      </c>
      <c r="N27" t="n">
        <v>575684</v>
      </c>
      <c r="O27" t="n">
        <v>11569</v>
      </c>
      <c r="P27" t="n">
        <v>26550.5</v>
      </c>
      <c r="Q27" t="n">
        <v>300291</v>
      </c>
      <c r="R27" t="n">
        <v>321</v>
      </c>
      <c r="S27" t="n">
        <v>0</v>
      </c>
      <c r="T27" t="n">
        <v>0</v>
      </c>
      <c r="U27" t="n">
        <v>0</v>
      </c>
      <c r="V27" t="n">
        <v>201421.9</v>
      </c>
      <c r="W27" t="n">
        <v>1753318</v>
      </c>
      <c r="X27" t="n">
        <v>107306</v>
      </c>
      <c r="Y27">
        <f>IF(ISNUMBER($W27),$W27,0)</f>
        <v/>
      </c>
      <c r="Z27">
        <f>IF(ISNUMBER(SEARCH("Adjustment",$C27)),"excluded",IF($H27="Behind the Meter","excluded",IF(NOT(OR($E27="Bundled",$E27="Energy")),"excluded",IF(OR($H27="Retail Power Marketer",$H27="Community Choice Aggregator",$E27="Energy"),"procurement",IF(OR($H27="Municipal",$H27="Cooperative",$H27="Federal",$H27="State",$H27="Political Subdivision"),"cost_service",IF($H27="Investor Owned",IF(AND(COUNTIF(Parameters!$A$4:$A$33,$G27)&gt;0,COUNTIF(Parameters!$B$4:$B$33,$B27)=0),"procurement","cost_service"),"unclassified"))))))</f>
        <v/>
      </c>
    </row>
    <row r="28">
      <c r="A28" t="n">
        <v>2024</v>
      </c>
      <c r="B28" t="n">
        <v>99999</v>
      </c>
      <c r="C28" t="inlineStr">
        <is>
          <t>Adjustment 2024</t>
        </is>
      </c>
      <c r="D28" t="inlineStr">
        <is>
          <t>A</t>
        </is>
      </c>
      <c r="E28" t="inlineStr">
        <is>
          <t>Bundled</t>
        </is>
      </c>
      <c r="F28" t="inlineStr">
        <is>
          <t>I</t>
        </is>
      </c>
      <c r="G28" t="inlineStr">
        <is>
          <t>UT</t>
        </is>
      </c>
      <c r="H28" t="inlineStr"/>
      <c r="I28" t="inlineStr">
        <is>
          <t>WALC</t>
        </is>
      </c>
      <c r="J28" t="n">
        <v>88.59999999999999</v>
      </c>
      <c r="K28" t="n">
        <v>107</v>
      </c>
      <c r="L28" t="n">
        <v>87</v>
      </c>
      <c r="M28" t="n">
        <v>218.5</v>
      </c>
      <c r="N28" t="n">
        <v>473</v>
      </c>
      <c r="O28" t="n">
        <v>8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307.1</v>
      </c>
      <c r="W28" t="n">
        <v>580</v>
      </c>
      <c r="X28" t="n">
        <v>95</v>
      </c>
      <c r="Y28">
        <f>IF(ISNUMBER($W28),$W28,0)</f>
        <v/>
      </c>
      <c r="Z28">
        <f>IF(ISNUMBER(SEARCH("Adjustment",$C28)),"excluded",IF($H28="Behind the Meter","excluded",IF(NOT(OR($E28="Bundled",$E28="Energy")),"excluded",IF(OR($H28="Retail Power Marketer",$H28="Community Choice Aggregator",$E28="Energy"),"procurement",IF(OR($H28="Municipal",$H28="Cooperative",$H28="Federal",$H28="State",$H28="Political Subdivision"),"cost_service",IF($H28="Investor Owned",IF(AND(COUNTIF(Parameters!$A$4:$A$33,$G28)&gt;0,COUNTIF(Parameters!$B$4:$B$33,$B28)=0),"procurement","cost_service"),"unclassified"))))))</f>
        <v/>
      </c>
    </row>
    <row r="29">
      <c r="A29" t="n">
        <v>2024</v>
      </c>
      <c r="B29" t="n">
        <v>99999</v>
      </c>
      <c r="C29" t="inlineStr">
        <is>
          <t>Adjustment 2024</t>
        </is>
      </c>
      <c r="D29" t="inlineStr">
        <is>
          <t>A</t>
        </is>
      </c>
      <c r="E29" t="inlineStr">
        <is>
          <t>Bundled</t>
        </is>
      </c>
      <c r="F29" t="inlineStr">
        <is>
          <t>I</t>
        </is>
      </c>
      <c r="G29" t="inlineStr">
        <is>
          <t>UT</t>
        </is>
      </c>
      <c r="H29" t="inlineStr"/>
      <c r="I29" t="inlineStr">
        <is>
          <t>WACM</t>
        </is>
      </c>
      <c r="J29" t="n">
        <v>1718.3</v>
      </c>
      <c r="K29" t="n">
        <v>9487</v>
      </c>
      <c r="L29" t="n">
        <v>1904</v>
      </c>
      <c r="M29" t="n">
        <v>744.7</v>
      </c>
      <c r="N29" t="n">
        <v>7464</v>
      </c>
      <c r="O29" t="n">
        <v>265</v>
      </c>
      <c r="P29" t="n">
        <v>76.59999999999999</v>
      </c>
      <c r="Q29" t="n">
        <v>592</v>
      </c>
      <c r="R29" t="n">
        <v>36</v>
      </c>
      <c r="S29" t="n">
        <v>0</v>
      </c>
      <c r="T29" t="n">
        <v>0</v>
      </c>
      <c r="U29" t="n">
        <v>0</v>
      </c>
      <c r="V29" t="n">
        <v>2539.6</v>
      </c>
      <c r="W29" t="n">
        <v>17543</v>
      </c>
      <c r="X29" t="n">
        <v>2205</v>
      </c>
      <c r="Y29">
        <f>IF(ISNUMBER($W29),$W29,0)</f>
        <v/>
      </c>
      <c r="Z29">
        <f>IF(ISNUMBER(SEARCH("Adjustment",$C29)),"excluded",IF($H29="Behind the Meter","excluded",IF(NOT(OR($E29="Bundled",$E29="Energy")),"excluded",IF(OR($H29="Retail Power Marketer",$H29="Community Choice Aggregator",$E29="Energy"),"procurement",IF(OR($H29="Municipal",$H29="Cooperative",$H29="Federal",$H29="State",$H29="Political Subdivision"),"cost_service",IF($H29="Investor Owned",IF(AND(COUNTIF(Parameters!$A$4:$A$33,$G29)&gt;0,COUNTIF(Parameters!$B$4:$B$33,$B29)=0),"procurement","cost_service"),"unclassified"))))))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F3864"/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7" customWidth="1" min="2" max="2"/>
    <col width="17" customWidth="1" min="3" max="3"/>
    <col width="17" customWidth="1" min="4" max="4"/>
    <col width="17" customWidth="1" min="5" max="5"/>
    <col width="17" customWidth="1" min="6" max="6"/>
  </cols>
  <sheetData>
    <row r="1">
      <c r="A1" s="7" t="inlineStr">
        <is>
          <t>region</t>
        </is>
      </c>
      <c r="B1" s="7" t="inlineStr">
        <is>
          <t>cost_service_mwh</t>
        </is>
      </c>
      <c r="C1" s="7" t="inlineStr">
        <is>
          <t>procurement_mwh</t>
        </is>
      </c>
      <c r="D1" s="7" t="inlineStr">
        <is>
          <t>total_mwh</t>
        </is>
      </c>
      <c r="E1" s="7" t="inlineStr">
        <is>
          <t>share_cost_service</t>
        </is>
      </c>
      <c r="F1" s="7" t="inlineStr">
        <is>
          <t>share_procurement</t>
        </is>
      </c>
    </row>
    <row r="2">
      <c r="A2" t="inlineStr">
        <is>
          <t>UT</t>
        </is>
      </c>
      <c r="B2">
        <f>SUMIFS('EIA-861 Sales 2024'!$Y$4:$Y$29,'EIA-861 Sales 2024'!$Z$4:$Z$29,"cost_service")</f>
        <v/>
      </c>
      <c r="C2">
        <f>SUMIFS('EIA-861 Sales 2024'!$Y$4:$Y$29,'EIA-861 Sales 2024'!$Z$4:$Z$29,"procurement")</f>
        <v/>
      </c>
      <c r="D2">
        <f>B2+C2</f>
        <v/>
      </c>
      <c r="E2">
        <f>IF($D2=0,0,B2/$D2)</f>
        <v/>
      </c>
      <c r="F2">
        <f>IF($D2=0,0,C2/$D2)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1F3864"/>
    <outlinePr summaryBelow="1" summaryRight="1"/>
    <pageSetUpPr/>
  </sheetPr>
  <dimension ref="A1:AE2"/>
  <sheetViews>
    <sheetView workbookViewId="0">
      <pane xSplit="1" topLeftCell="B1" activePane="topRight" state="frozen"/>
      <selection pane="topRight" activeCell="A1" sqref="A1"/>
    </sheetView>
  </sheetViews>
  <sheetFormatPr baseColWidth="8" defaultRowHeight="15"/>
  <sheetData>
    <row r="1">
      <c r="A1" t="inlineStr">
        <is>
          <t>Unit: dimensionless (% of demand)</t>
        </is>
      </c>
      <c r="B1" t="n">
        <v>2021</v>
      </c>
      <c r="C1" t="n">
        <v>2022</v>
      </c>
      <c r="D1" t="n">
        <v>2023</v>
      </c>
      <c r="E1" t="n">
        <v>2024</v>
      </c>
      <c r="F1" t="n">
        <v>2025</v>
      </c>
      <c r="G1" t="n">
        <v>2026</v>
      </c>
      <c r="H1" t="n">
        <v>2027</v>
      </c>
      <c r="I1" t="n">
        <v>2028</v>
      </c>
      <c r="J1" t="n">
        <v>2029</v>
      </c>
      <c r="K1" t="n">
        <v>2030</v>
      </c>
      <c r="L1" t="n">
        <v>2031</v>
      </c>
      <c r="M1" t="n">
        <v>2032</v>
      </c>
      <c r="N1" t="n">
        <v>2033</v>
      </c>
      <c r="O1" t="n">
        <v>2034</v>
      </c>
      <c r="P1" t="n">
        <v>2035</v>
      </c>
      <c r="Q1" t="n">
        <v>2036</v>
      </c>
      <c r="R1" t="n">
        <v>2037</v>
      </c>
      <c r="S1" t="n">
        <v>2038</v>
      </c>
      <c r="T1" t="n">
        <v>2039</v>
      </c>
      <c r="U1" t="n">
        <v>2040</v>
      </c>
      <c r="V1" t="n">
        <v>2041</v>
      </c>
      <c r="W1" t="n">
        <v>2042</v>
      </c>
      <c r="X1" t="n">
        <v>2043</v>
      </c>
      <c r="Y1" t="n">
        <v>2044</v>
      </c>
      <c r="Z1" t="n">
        <v>2045</v>
      </c>
      <c r="AA1" t="n">
        <v>2046</v>
      </c>
      <c r="AB1" t="n">
        <v>2047</v>
      </c>
      <c r="AC1" t="n">
        <v>2048</v>
      </c>
      <c r="AD1" t="n">
        <v>2049</v>
      </c>
      <c r="AE1" t="n">
        <v>2050</v>
      </c>
    </row>
    <row r="2">
      <c r="A2" t="inlineStr">
        <is>
          <t>Share that is Cost of Service</t>
        </is>
      </c>
      <c r="B2">
        <f>ROUND('Share'!$E$2,3)</f>
        <v/>
      </c>
      <c r="C2">
        <f>ROUND('Share'!$E$2,3)</f>
        <v/>
      </c>
      <c r="D2">
        <f>ROUND('Share'!$E$2,3)</f>
        <v/>
      </c>
      <c r="E2">
        <f>ROUND('Share'!$E$2,3)</f>
        <v/>
      </c>
      <c r="F2">
        <f>ROUND('Share'!$E$2,3)</f>
        <v/>
      </c>
      <c r="G2">
        <f>ROUND('Share'!$E$2,3)</f>
        <v/>
      </c>
      <c r="H2">
        <f>ROUND('Share'!$E$2,3)</f>
        <v/>
      </c>
      <c r="I2">
        <f>ROUND('Share'!$E$2,3)</f>
        <v/>
      </c>
      <c r="J2">
        <f>ROUND('Share'!$E$2,3)</f>
        <v/>
      </c>
      <c r="K2">
        <f>ROUND('Share'!$E$2,3)</f>
        <v/>
      </c>
      <c r="L2">
        <f>ROUND('Share'!$E$2,3)</f>
        <v/>
      </c>
      <c r="M2">
        <f>ROUND('Share'!$E$2,3)</f>
        <v/>
      </c>
      <c r="N2">
        <f>ROUND('Share'!$E$2,3)</f>
        <v/>
      </c>
      <c r="O2">
        <f>ROUND('Share'!$E$2,3)</f>
        <v/>
      </c>
      <c r="P2">
        <f>ROUND('Share'!$E$2,3)</f>
        <v/>
      </c>
      <c r="Q2">
        <f>ROUND('Share'!$E$2,3)</f>
        <v/>
      </c>
      <c r="R2">
        <f>ROUND('Share'!$E$2,3)</f>
        <v/>
      </c>
      <c r="S2">
        <f>ROUND('Share'!$E$2,3)</f>
        <v/>
      </c>
      <c r="T2">
        <f>ROUND('Share'!$E$2,3)</f>
        <v/>
      </c>
      <c r="U2">
        <f>ROUND('Share'!$E$2,3)</f>
        <v/>
      </c>
      <c r="V2">
        <f>ROUND('Share'!$E$2,3)</f>
        <v/>
      </c>
      <c r="W2">
        <f>ROUND('Share'!$E$2,3)</f>
        <v/>
      </c>
      <c r="X2">
        <f>ROUND('Share'!$E$2,3)</f>
        <v/>
      </c>
      <c r="Y2">
        <f>ROUND('Share'!$E$2,3)</f>
        <v/>
      </c>
      <c r="Z2">
        <f>ROUND('Share'!$E$2,3)</f>
        <v/>
      </c>
      <c r="AA2">
        <f>ROUND('Share'!$E$2,3)</f>
        <v/>
      </c>
      <c r="AB2">
        <f>ROUND('Share'!$E$2,3)</f>
        <v/>
      </c>
      <c r="AC2">
        <f>ROUND('Share'!$E$2,3)</f>
        <v/>
      </c>
      <c r="AD2">
        <f>ROUND('Share'!$E$2,3)</f>
        <v/>
      </c>
      <c r="AE2">
        <f>ROUND('Share'!$E$2,3)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2026-06-02T20:15:32Z</dcterms:created>
  <dcterms:modified xmlns:dcterms="http://purl.org/dc/terms/" xmlns:xsi="http://www.w3.org/2001/XMLSchema-instance" xsi:type="dcterms:W3CDTF">2026-06-02T20:15:32Z</dcterms:modified>
</cp:coreProperties>
</file>