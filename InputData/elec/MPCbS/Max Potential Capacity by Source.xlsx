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elec\MPCbS\"/>
    </mc:Choice>
  </mc:AlternateContent>
  <xr:revisionPtr revIDLastSave="0" documentId="8_{E43F22DF-2DD8-44D9-88A1-E190BE36A8A8}" xr6:coauthVersionLast="47" xr6:coauthVersionMax="47" xr10:uidLastSave="{00000000-0000-0000-0000-000000000000}"/>
  <bookViews>
    <workbookView xWindow="-90" yWindow="-90" windowWidth="19380" windowHeight="1026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<sst xmlns="http://schemas.openxmlformats.org/spreadsheetml/2006/main" count="914" uniqueCount="279">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</sst>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186</v>
      </c>
      <c r="C1" s="24">
        <v>45294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UT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UT</v>
      </c>
      <c r="B1" s="32">
        <f>SUMIFS(E3:E52,A3:A52,A1)</f>
        <v>2410000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UT</v>
      </c>
      <c r="B1" s="32">
        <f>SUMIFS(C3:C53,A3:A53,A1)</f>
        <v>1638000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UT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Utah</v>
      </c>
      <c r="B1" s="32" t="str">
        <f>LOOKUP(A1,M4:N53,N4:N53)</f>
        <v>UT</v>
      </c>
      <c r="C1" s="32">
        <f>SUMIFS(L5:L52,A5:A52,B1)</f>
        <v>277745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UT</v>
      </c>
      <c r="B1" s="32">
        <f>SUMIFS(D4:D53,A4:A53,A1)</f>
        <v>140.57403783431181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UT</v>
      </c>
      <c r="B1" s="32">
        <f>SUMIFS(C3:C52,A3:A52,A1)</f>
        <v>119000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UT</v>
      </c>
      <c r="B1" s="32">
        <f>SUMIFS(D5:D54,A5:A54,A1)</f>
        <v>805.47945205479459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9*10^12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f>9*10^12</f>
        <v>9000000000000</v>
      </c>
    </row>
    <row r="6" spans="1:2" x14ac:dyDescent="0.25">
      <c r="A6" t="s">
        <v>28</v>
      </c>
      <c r="B6">
        <f>hydro!B1</f>
        <v>805.47945205479459</v>
      </c>
    </row>
    <row r="7" spans="1:2" x14ac:dyDescent="0.25">
      <c r="A7" t="s">
        <v>55</v>
      </c>
      <c r="B7">
        <f>'onshore wind'!C1</f>
        <v>277745</v>
      </c>
    </row>
    <row r="8" spans="1:2" x14ac:dyDescent="0.25">
      <c r="A8" t="s">
        <v>33</v>
      </c>
      <c r="B8">
        <f>'solar PV'!B1</f>
        <v>2410000</v>
      </c>
    </row>
    <row r="9" spans="1:2" x14ac:dyDescent="0.25">
      <c r="A9" t="s">
        <v>34</v>
      </c>
      <c r="B9">
        <f>'solar thermal'!B1</f>
        <v>1638000</v>
      </c>
    </row>
    <row r="10" spans="1:2" x14ac:dyDescent="0.25">
      <c r="A10" t="s">
        <v>29</v>
      </c>
      <c r="B10">
        <f>bio!B1</f>
        <v>140.57403783431181</v>
      </c>
    </row>
    <row r="11" spans="1:2" x14ac:dyDescent="0.25">
      <c r="A11" t="s">
        <v>39</v>
      </c>
      <c r="B11">
        <f>geothermal!B1</f>
        <v>119000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78.264221402191922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140.57403783431181</v>
      </c>
    </row>
    <row r="22" spans="1:2" x14ac:dyDescent="0.25">
      <c r="A22" t="s">
        <v>95</v>
      </c>
      <c r="B22" s="14">
        <f>9*10^12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2024-01-03T19:34:35Z</dcterms:modified>
</cp:coreProperties>
</file>